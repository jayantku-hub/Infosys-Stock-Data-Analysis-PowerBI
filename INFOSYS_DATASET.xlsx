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ote-Equity-INFY-EQ-01-02-2025" sheetId="1" r:id="rId5"/>
  </sheets>
  <definedNames/>
  <calcPr/>
</workbook>
</file>

<file path=xl/sharedStrings.xml><?xml version="1.0" encoding="utf-8"?>
<sst xmlns="http://schemas.openxmlformats.org/spreadsheetml/2006/main" count="243" uniqueCount="18">
  <si>
    <t>DATE</t>
  </si>
  <si>
    <t>SERIES</t>
  </si>
  <si>
    <t>DAY</t>
  </si>
  <si>
    <t>MONTH</t>
  </si>
  <si>
    <t>YEAR</t>
  </si>
  <si>
    <t>QUARTER</t>
  </si>
  <si>
    <t>OPEN</t>
  </si>
  <si>
    <t>HIGH</t>
  </si>
  <si>
    <t>LOW</t>
  </si>
  <si>
    <t>PREV. CLOSE</t>
  </si>
  <si>
    <t>LTP</t>
  </si>
  <si>
    <t>CLOSE</t>
  </si>
  <si>
    <t>VWAP</t>
  </si>
  <si>
    <t>52W H</t>
  </si>
  <si>
    <t>52W L</t>
  </si>
  <si>
    <t>VOLUME</t>
  </si>
  <si>
    <t>NO. OF  TRADES</t>
  </si>
  <si>
    <t>EQ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</si>
</sst>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m-yyyy"/>
    <numFmt numFmtId="165" formatCode="d-mmm-yyyy"/>
    <numFmt numFmtId="166" formatCode="dd-mmmm-yyyy"/>
    <numFmt numFmtId="167" formatCode="d-mmm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6" max="16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>
        <v>45689.0</v>
      </c>
      <c r="B2" s="4" t="s">
        <v>17</v>
      </c>
      <c r="C2" s="5" t="str">
        <f t="shared" ref="C2:C227" si="1">TEXT(A2,"DDDD")</f>
        <v>Saturday</v>
      </c>
      <c r="D2" s="5" t="str">
        <f t="shared" ref="D2:D227" si="2">TEXT(A2,"MMMm")</f>
        <v>February</v>
      </c>
      <c r="E2" s="5" t="str">
        <f t="shared" ref="E2:E227" si="3">TEXT(A2,"YYYY")</f>
        <v>2025</v>
      </c>
      <c r="F2" s="5" t="str">
        <f t="shared" ref="F2:F227" si="4">"Q"&amp;ROUNDUP(MONTH(A2)/3,0)</f>
        <v>Q1</v>
      </c>
      <c r="G2" s="5">
        <v>1880.3</v>
      </c>
      <c r="H2" s="5">
        <v>1890.6</v>
      </c>
      <c r="I2" s="5">
        <v>1846.0</v>
      </c>
      <c r="J2" s="5">
        <v>1879.8</v>
      </c>
      <c r="K2" s="5">
        <v>1863.0</v>
      </c>
      <c r="L2" s="5">
        <v>1851.35</v>
      </c>
      <c r="M2" s="5">
        <v>1862.44</v>
      </c>
      <c r="N2" s="5">
        <v>2006.45</v>
      </c>
      <c r="O2" s="5">
        <v>1358.35</v>
      </c>
      <c r="P2" s="5">
        <v>1701402.0</v>
      </c>
      <c r="Q2" s="5">
        <v>70335.0</v>
      </c>
    </row>
    <row r="3">
      <c r="A3" s="3">
        <v>45691.0</v>
      </c>
      <c r="B3" s="4" t="s">
        <v>17</v>
      </c>
      <c r="C3" s="5" t="str">
        <f t="shared" si="1"/>
        <v>Monday</v>
      </c>
      <c r="D3" s="5" t="str">
        <f t="shared" si="2"/>
        <v>February</v>
      </c>
      <c r="E3" s="5" t="str">
        <f t="shared" si="3"/>
        <v>2025</v>
      </c>
      <c r="F3" s="5" t="str">
        <f t="shared" si="4"/>
        <v>Q1</v>
      </c>
      <c r="G3" s="5">
        <v>1836.0</v>
      </c>
      <c r="H3" s="5">
        <v>1876.55</v>
      </c>
      <c r="I3" s="5">
        <v>1832.4</v>
      </c>
      <c r="J3" s="5">
        <v>1851.35</v>
      </c>
      <c r="K3" s="5">
        <v>1864.1</v>
      </c>
      <c r="L3" s="5">
        <v>1863.3</v>
      </c>
      <c r="M3" s="5">
        <v>1858.62</v>
      </c>
      <c r="N3" s="5">
        <v>2006.45</v>
      </c>
      <c r="O3" s="5">
        <v>1358.35</v>
      </c>
      <c r="P3" s="5">
        <v>4823228.0</v>
      </c>
      <c r="Q3" s="5">
        <v>177156.0</v>
      </c>
    </row>
    <row r="4">
      <c r="A4" s="3">
        <v>45692.0</v>
      </c>
      <c r="B4" s="4" t="s">
        <v>17</v>
      </c>
      <c r="C4" s="5" t="str">
        <f t="shared" si="1"/>
        <v>Tuesday</v>
      </c>
      <c r="D4" s="5" t="str">
        <f t="shared" si="2"/>
        <v>February</v>
      </c>
      <c r="E4" s="5" t="str">
        <f t="shared" si="3"/>
        <v>2025</v>
      </c>
      <c r="F4" s="5" t="str">
        <f t="shared" si="4"/>
        <v>Q1</v>
      </c>
      <c r="G4" s="5">
        <v>1889.0</v>
      </c>
      <c r="H4" s="5">
        <v>1911.2</v>
      </c>
      <c r="I4" s="5">
        <v>1875.0</v>
      </c>
      <c r="J4" s="5">
        <v>1863.3</v>
      </c>
      <c r="K4" s="5">
        <v>1894.85</v>
      </c>
      <c r="L4" s="5">
        <v>1898.8</v>
      </c>
      <c r="M4" s="5">
        <v>1892.32</v>
      </c>
      <c r="N4" s="5">
        <v>2006.45</v>
      </c>
      <c r="O4" s="5">
        <v>1358.35</v>
      </c>
      <c r="P4" s="5">
        <v>7334787.0</v>
      </c>
      <c r="Q4" s="5">
        <v>254137.0</v>
      </c>
    </row>
    <row r="5">
      <c r="A5" s="3">
        <v>45693.0</v>
      </c>
      <c r="B5" s="4" t="s">
        <v>17</v>
      </c>
      <c r="C5" s="5" t="str">
        <f t="shared" si="1"/>
        <v>Wednesday</v>
      </c>
      <c r="D5" s="5" t="str">
        <f t="shared" si="2"/>
        <v>February</v>
      </c>
      <c r="E5" s="5" t="str">
        <f t="shared" si="3"/>
        <v>2025</v>
      </c>
      <c r="F5" s="5" t="str">
        <f t="shared" si="4"/>
        <v>Q1</v>
      </c>
      <c r="G5" s="5">
        <v>1906.0</v>
      </c>
      <c r="H5" s="5">
        <v>1919.7</v>
      </c>
      <c r="I5" s="5">
        <v>1894.3</v>
      </c>
      <c r="J5" s="5">
        <v>1898.8</v>
      </c>
      <c r="K5" s="5">
        <v>1899.15</v>
      </c>
      <c r="L5" s="5">
        <v>1897.05</v>
      </c>
      <c r="M5" s="5">
        <v>1901.79</v>
      </c>
      <c r="N5" s="5">
        <v>2006.45</v>
      </c>
      <c r="O5" s="5">
        <v>1358.35</v>
      </c>
      <c r="P5" s="5">
        <v>4996744.0</v>
      </c>
      <c r="Q5" s="5">
        <v>170651.0</v>
      </c>
    </row>
    <row r="6">
      <c r="A6" s="3">
        <v>45694.0</v>
      </c>
      <c r="B6" s="4" t="s">
        <v>17</v>
      </c>
      <c r="C6" s="5" t="str">
        <f t="shared" si="1"/>
        <v>Thursday</v>
      </c>
      <c r="D6" s="5" t="str">
        <f t="shared" si="2"/>
        <v>February</v>
      </c>
      <c r="E6" s="5" t="str">
        <f t="shared" si="3"/>
        <v>2025</v>
      </c>
      <c r="F6" s="5" t="str">
        <f t="shared" si="4"/>
        <v>Q1</v>
      </c>
      <c r="G6" s="5">
        <v>1917.0</v>
      </c>
      <c r="H6" s="5">
        <v>1924.0</v>
      </c>
      <c r="I6" s="5">
        <v>1900.0</v>
      </c>
      <c r="J6" s="5">
        <v>1897.05</v>
      </c>
      <c r="K6" s="5">
        <v>1913.75</v>
      </c>
      <c r="L6" s="5">
        <v>1915.65</v>
      </c>
      <c r="M6" s="5">
        <v>1910.66</v>
      </c>
      <c r="N6" s="5">
        <v>2006.45</v>
      </c>
      <c r="O6" s="5">
        <v>1358.35</v>
      </c>
      <c r="P6" s="5">
        <v>4765255.0</v>
      </c>
      <c r="Q6" s="5">
        <v>151924.0</v>
      </c>
    </row>
    <row r="7">
      <c r="A7" s="3">
        <v>45695.0</v>
      </c>
      <c r="B7" s="4" t="s">
        <v>17</v>
      </c>
      <c r="C7" s="5" t="str">
        <f t="shared" si="1"/>
        <v>Friday</v>
      </c>
      <c r="D7" s="5" t="str">
        <f t="shared" si="2"/>
        <v>February</v>
      </c>
      <c r="E7" s="5" t="str">
        <f t="shared" si="3"/>
        <v>2025</v>
      </c>
      <c r="F7" s="5" t="str">
        <f t="shared" si="4"/>
        <v>Q1</v>
      </c>
      <c r="G7" s="5">
        <v>1919.3</v>
      </c>
      <c r="H7" s="5">
        <v>1923.7</v>
      </c>
      <c r="I7" s="5">
        <v>1889.45</v>
      </c>
      <c r="J7" s="5">
        <v>1915.65</v>
      </c>
      <c r="K7" s="5">
        <v>1901.1</v>
      </c>
      <c r="L7" s="5">
        <v>1903.65</v>
      </c>
      <c r="M7" s="5">
        <v>1902.44</v>
      </c>
      <c r="N7" s="5">
        <v>2006.45</v>
      </c>
      <c r="O7" s="5">
        <v>1358.35</v>
      </c>
      <c r="P7" s="5">
        <v>4126260.0</v>
      </c>
      <c r="Q7" s="5">
        <v>155494.0</v>
      </c>
    </row>
    <row r="8">
      <c r="A8" s="6">
        <v>45698.0</v>
      </c>
      <c r="B8" s="4" t="s">
        <v>17</v>
      </c>
      <c r="C8" s="5" t="str">
        <f t="shared" si="1"/>
        <v>Monday</v>
      </c>
      <c r="D8" s="5" t="str">
        <f t="shared" si="2"/>
        <v>February</v>
      </c>
      <c r="E8" s="5" t="str">
        <f t="shared" si="3"/>
        <v>2025</v>
      </c>
      <c r="F8" s="5" t="str">
        <f t="shared" si="4"/>
        <v>Q1</v>
      </c>
      <c r="G8" s="5">
        <v>1905.0</v>
      </c>
      <c r="H8" s="5">
        <v>1905.0</v>
      </c>
      <c r="I8" s="5">
        <v>1878.6</v>
      </c>
      <c r="J8" s="5">
        <v>1903.65</v>
      </c>
      <c r="K8" s="5">
        <v>1880.0</v>
      </c>
      <c r="L8" s="5">
        <v>1880.3</v>
      </c>
      <c r="M8" s="5">
        <v>1885.89</v>
      </c>
      <c r="N8" s="5">
        <v>2006.45</v>
      </c>
      <c r="O8" s="5">
        <v>1358.35</v>
      </c>
      <c r="P8" s="5">
        <v>3828734.0</v>
      </c>
      <c r="Q8" s="5">
        <v>151607.0</v>
      </c>
    </row>
    <row r="9">
      <c r="A9" s="6">
        <v>45699.0</v>
      </c>
      <c r="B9" s="4" t="s">
        <v>17</v>
      </c>
      <c r="C9" s="5" t="str">
        <f t="shared" si="1"/>
        <v>Tuesday</v>
      </c>
      <c r="D9" s="5" t="str">
        <f t="shared" si="2"/>
        <v>February</v>
      </c>
      <c r="E9" s="5" t="str">
        <f t="shared" si="3"/>
        <v>2025</v>
      </c>
      <c r="F9" s="5" t="str">
        <f t="shared" si="4"/>
        <v>Q1</v>
      </c>
      <c r="G9" s="5">
        <v>1883.1</v>
      </c>
      <c r="H9" s="5">
        <v>1903.0</v>
      </c>
      <c r="I9" s="5">
        <v>1870.0</v>
      </c>
      <c r="J9" s="5">
        <v>1880.3</v>
      </c>
      <c r="K9" s="5">
        <v>1879.0</v>
      </c>
      <c r="L9" s="5">
        <v>1875.65</v>
      </c>
      <c r="M9" s="5">
        <v>1883.68</v>
      </c>
      <c r="N9" s="5">
        <v>2006.45</v>
      </c>
      <c r="O9" s="5">
        <v>1358.35</v>
      </c>
      <c r="P9" s="5">
        <v>4411601.0</v>
      </c>
      <c r="Q9" s="5">
        <v>160934.0</v>
      </c>
    </row>
    <row r="10">
      <c r="A10" s="6">
        <v>45700.0</v>
      </c>
      <c r="B10" s="4" t="s">
        <v>17</v>
      </c>
      <c r="C10" s="5" t="str">
        <f t="shared" si="1"/>
        <v>Wednesday</v>
      </c>
      <c r="D10" s="5" t="str">
        <f t="shared" si="2"/>
        <v>February</v>
      </c>
      <c r="E10" s="5" t="str">
        <f t="shared" si="3"/>
        <v>2025</v>
      </c>
      <c r="F10" s="5" t="str">
        <f t="shared" si="4"/>
        <v>Q1</v>
      </c>
      <c r="G10" s="5">
        <v>1885.0</v>
      </c>
      <c r="H10" s="5">
        <v>1894.6</v>
      </c>
      <c r="I10" s="5">
        <v>1847.0</v>
      </c>
      <c r="J10" s="5">
        <v>1875.65</v>
      </c>
      <c r="K10" s="5">
        <v>1864.0</v>
      </c>
      <c r="L10" s="5">
        <v>1863.15</v>
      </c>
      <c r="M10" s="5">
        <v>1866.72</v>
      </c>
      <c r="N10" s="5">
        <v>2006.45</v>
      </c>
      <c r="O10" s="5">
        <v>1358.35</v>
      </c>
      <c r="P10" s="5">
        <v>5633947.0</v>
      </c>
      <c r="Q10" s="5">
        <v>222006.0</v>
      </c>
    </row>
    <row r="11">
      <c r="A11" s="6">
        <v>45701.0</v>
      </c>
      <c r="B11" s="4" t="s">
        <v>17</v>
      </c>
      <c r="C11" s="5" t="str">
        <f t="shared" si="1"/>
        <v>Thursday</v>
      </c>
      <c r="D11" s="5" t="str">
        <f t="shared" si="2"/>
        <v>February</v>
      </c>
      <c r="E11" s="5" t="str">
        <f t="shared" si="3"/>
        <v>2025</v>
      </c>
      <c r="F11" s="5" t="str">
        <f t="shared" si="4"/>
        <v>Q1</v>
      </c>
      <c r="G11" s="5">
        <v>1868.5</v>
      </c>
      <c r="H11" s="5">
        <v>1873.5</v>
      </c>
      <c r="I11" s="5">
        <v>1835.65</v>
      </c>
      <c r="J11" s="5">
        <v>1863.15</v>
      </c>
      <c r="K11" s="5">
        <v>1840.65</v>
      </c>
      <c r="L11" s="5">
        <v>1843.25</v>
      </c>
      <c r="M11" s="5">
        <v>1851.21</v>
      </c>
      <c r="N11" s="5">
        <v>2006.45</v>
      </c>
      <c r="O11" s="5">
        <v>1358.35</v>
      </c>
      <c r="P11" s="5">
        <v>5237744.0</v>
      </c>
      <c r="Q11" s="5">
        <v>192119.0</v>
      </c>
    </row>
    <row r="12">
      <c r="A12" s="6">
        <v>45702.0</v>
      </c>
      <c r="B12" s="4" t="s">
        <v>17</v>
      </c>
      <c r="C12" s="5" t="str">
        <f t="shared" si="1"/>
        <v>Friday</v>
      </c>
      <c r="D12" s="5" t="str">
        <f t="shared" si="2"/>
        <v>February</v>
      </c>
      <c r="E12" s="5" t="str">
        <f t="shared" si="3"/>
        <v>2025</v>
      </c>
      <c r="F12" s="5" t="str">
        <f t="shared" si="4"/>
        <v>Q1</v>
      </c>
      <c r="G12" s="5">
        <v>1854.0</v>
      </c>
      <c r="H12" s="5">
        <v>1859.3</v>
      </c>
      <c r="I12" s="5">
        <v>1828.35</v>
      </c>
      <c r="J12" s="5">
        <v>1843.25</v>
      </c>
      <c r="K12" s="5">
        <v>1853.0</v>
      </c>
      <c r="L12" s="5">
        <v>1856.4</v>
      </c>
      <c r="M12" s="5">
        <v>1845.06</v>
      </c>
      <c r="N12" s="5">
        <v>2006.45</v>
      </c>
      <c r="O12" s="5">
        <v>1358.35</v>
      </c>
      <c r="P12" s="5">
        <v>5292961.0</v>
      </c>
      <c r="Q12" s="5">
        <v>179989.0</v>
      </c>
    </row>
    <row r="13">
      <c r="A13" s="6">
        <v>45705.0</v>
      </c>
      <c r="B13" s="4" t="s">
        <v>17</v>
      </c>
      <c r="C13" s="5" t="str">
        <f t="shared" si="1"/>
        <v>Monday</v>
      </c>
      <c r="D13" s="5" t="str">
        <f t="shared" si="2"/>
        <v>February</v>
      </c>
      <c r="E13" s="5" t="str">
        <f t="shared" si="3"/>
        <v>2025</v>
      </c>
      <c r="F13" s="5" t="str">
        <f t="shared" si="4"/>
        <v>Q1</v>
      </c>
      <c r="G13" s="5">
        <v>1838.55</v>
      </c>
      <c r="H13" s="5">
        <v>1852.75</v>
      </c>
      <c r="I13" s="5">
        <v>1822.15</v>
      </c>
      <c r="J13" s="5">
        <v>1856.4</v>
      </c>
      <c r="K13" s="5">
        <v>1843.05</v>
      </c>
      <c r="L13" s="5">
        <v>1842.3</v>
      </c>
      <c r="M13" s="5">
        <v>1838.63</v>
      </c>
      <c r="N13" s="5">
        <v>2006.45</v>
      </c>
      <c r="O13" s="5">
        <v>1358.35</v>
      </c>
      <c r="P13" s="5">
        <v>4428956.0</v>
      </c>
      <c r="Q13" s="5">
        <v>149656.0</v>
      </c>
    </row>
    <row r="14">
      <c r="A14" s="6">
        <v>45706.0</v>
      </c>
      <c r="B14" s="4" t="s">
        <v>17</v>
      </c>
      <c r="C14" s="5" t="str">
        <f t="shared" si="1"/>
        <v>Tuesday</v>
      </c>
      <c r="D14" s="5" t="str">
        <f t="shared" si="2"/>
        <v>February</v>
      </c>
      <c r="E14" s="5" t="str">
        <f t="shared" si="3"/>
        <v>2025</v>
      </c>
      <c r="F14" s="5" t="str">
        <f t="shared" si="4"/>
        <v>Q1</v>
      </c>
      <c r="G14" s="5">
        <v>1842.3</v>
      </c>
      <c r="H14" s="5">
        <v>1861.65</v>
      </c>
      <c r="I14" s="5">
        <v>1837.6</v>
      </c>
      <c r="J14" s="5">
        <v>1842.3</v>
      </c>
      <c r="K14" s="5">
        <v>1848.0</v>
      </c>
      <c r="L14" s="5">
        <v>1851.95</v>
      </c>
      <c r="M14" s="5">
        <v>1848.81</v>
      </c>
      <c r="N14" s="5">
        <v>2006.45</v>
      </c>
      <c r="O14" s="5">
        <v>1358.35</v>
      </c>
      <c r="P14" s="5">
        <v>4365260.0</v>
      </c>
      <c r="Q14" s="5">
        <v>100362.0</v>
      </c>
    </row>
    <row r="15">
      <c r="A15" s="6">
        <v>45707.0</v>
      </c>
      <c r="B15" s="4" t="s">
        <v>17</v>
      </c>
      <c r="C15" s="5" t="str">
        <f t="shared" si="1"/>
        <v>Wednesday</v>
      </c>
      <c r="D15" s="5" t="str">
        <f t="shared" si="2"/>
        <v>February</v>
      </c>
      <c r="E15" s="5" t="str">
        <f t="shared" si="3"/>
        <v>2025</v>
      </c>
      <c r="F15" s="5" t="str">
        <f t="shared" si="4"/>
        <v>Q1</v>
      </c>
      <c r="G15" s="5">
        <v>1847.4</v>
      </c>
      <c r="H15" s="5">
        <v>1849.2</v>
      </c>
      <c r="I15" s="5">
        <v>1805.9</v>
      </c>
      <c r="J15" s="5">
        <v>1851.95</v>
      </c>
      <c r="K15" s="5">
        <v>1810.85</v>
      </c>
      <c r="L15" s="5">
        <v>1810.8</v>
      </c>
      <c r="M15" s="5">
        <v>1820.83</v>
      </c>
      <c r="N15" s="5">
        <v>2006.45</v>
      </c>
      <c r="O15" s="5">
        <v>1358.35</v>
      </c>
      <c r="P15" s="5">
        <v>4611411.0</v>
      </c>
      <c r="Q15" s="5">
        <v>214412.0</v>
      </c>
    </row>
    <row r="16">
      <c r="A16" s="6">
        <v>45708.0</v>
      </c>
      <c r="B16" s="4" t="s">
        <v>17</v>
      </c>
      <c r="C16" s="5" t="str">
        <f t="shared" si="1"/>
        <v>Thursday</v>
      </c>
      <c r="D16" s="5" t="str">
        <f t="shared" si="2"/>
        <v>February</v>
      </c>
      <c r="E16" s="5" t="str">
        <f t="shared" si="3"/>
        <v>2025</v>
      </c>
      <c r="F16" s="5" t="str">
        <f t="shared" si="4"/>
        <v>Q1</v>
      </c>
      <c r="G16" s="5">
        <v>1805.55</v>
      </c>
      <c r="H16" s="5">
        <v>1831.0</v>
      </c>
      <c r="I16" s="5">
        <v>1805.55</v>
      </c>
      <c r="J16" s="5">
        <v>1810.8</v>
      </c>
      <c r="K16" s="5">
        <v>1826.0</v>
      </c>
      <c r="L16" s="5">
        <v>1825.15</v>
      </c>
      <c r="M16" s="5">
        <v>1822.29</v>
      </c>
      <c r="N16" s="5">
        <v>2006.45</v>
      </c>
      <c r="O16" s="5">
        <v>1358.35</v>
      </c>
      <c r="P16" s="5">
        <v>2218020.0</v>
      </c>
      <c r="Q16" s="5">
        <v>116360.0</v>
      </c>
    </row>
    <row r="17">
      <c r="A17" s="6">
        <v>45709.0</v>
      </c>
      <c r="B17" s="4" t="s">
        <v>17</v>
      </c>
      <c r="C17" s="5" t="str">
        <f t="shared" si="1"/>
        <v>Friday</v>
      </c>
      <c r="D17" s="5" t="str">
        <f t="shared" si="2"/>
        <v>February</v>
      </c>
      <c r="E17" s="5" t="str">
        <f t="shared" si="3"/>
        <v>2025</v>
      </c>
      <c r="F17" s="5" t="str">
        <f t="shared" si="4"/>
        <v>Q1</v>
      </c>
      <c r="G17" s="5">
        <v>1821.8</v>
      </c>
      <c r="H17" s="5">
        <v>1829.85</v>
      </c>
      <c r="I17" s="5">
        <v>1806.2</v>
      </c>
      <c r="J17" s="5">
        <v>1825.15</v>
      </c>
      <c r="K17" s="5">
        <v>1815.0</v>
      </c>
      <c r="L17" s="5">
        <v>1815.0</v>
      </c>
      <c r="M17" s="5">
        <v>1817.56</v>
      </c>
      <c r="N17" s="5">
        <v>2006.45</v>
      </c>
      <c r="O17" s="5">
        <v>1358.35</v>
      </c>
      <c r="P17" s="5">
        <v>3379879.0</v>
      </c>
      <c r="Q17" s="5">
        <v>101664.0</v>
      </c>
    </row>
    <row r="18">
      <c r="A18" s="6">
        <v>45712.0</v>
      </c>
      <c r="B18" s="4" t="s">
        <v>17</v>
      </c>
      <c r="C18" s="5" t="str">
        <f t="shared" si="1"/>
        <v>Monday</v>
      </c>
      <c r="D18" s="5" t="str">
        <f t="shared" si="2"/>
        <v>February</v>
      </c>
      <c r="E18" s="5" t="str">
        <f t="shared" si="3"/>
        <v>2025</v>
      </c>
      <c r="F18" s="5" t="str">
        <f t="shared" si="4"/>
        <v>Q1</v>
      </c>
      <c r="G18" s="5">
        <v>1800.05</v>
      </c>
      <c r="H18" s="5">
        <v>1808.0</v>
      </c>
      <c r="I18" s="5">
        <v>1750.25</v>
      </c>
      <c r="J18" s="5">
        <v>1815.0</v>
      </c>
      <c r="K18" s="5">
        <v>1763.0</v>
      </c>
      <c r="L18" s="5">
        <v>1764.1</v>
      </c>
      <c r="M18" s="5">
        <v>1766.73</v>
      </c>
      <c r="N18" s="5">
        <v>2006.45</v>
      </c>
      <c r="O18" s="5">
        <v>1358.35</v>
      </c>
      <c r="P18" s="5">
        <v>7594720.0</v>
      </c>
      <c r="Q18" s="5">
        <v>362392.0</v>
      </c>
    </row>
    <row r="19">
      <c r="A19" s="6">
        <v>45713.0</v>
      </c>
      <c r="B19" s="4" t="s">
        <v>17</v>
      </c>
      <c r="C19" s="5" t="str">
        <f t="shared" si="1"/>
        <v>Tuesday</v>
      </c>
      <c r="D19" s="5" t="str">
        <f t="shared" si="2"/>
        <v>February</v>
      </c>
      <c r="E19" s="5" t="str">
        <f t="shared" si="3"/>
        <v>2025</v>
      </c>
      <c r="F19" s="5" t="str">
        <f t="shared" si="4"/>
        <v>Q1</v>
      </c>
      <c r="G19" s="5">
        <v>1745.15</v>
      </c>
      <c r="H19" s="5">
        <v>1778.45</v>
      </c>
      <c r="I19" s="5">
        <v>1745.15</v>
      </c>
      <c r="J19" s="5">
        <v>1764.1</v>
      </c>
      <c r="K19" s="5">
        <v>1766.75</v>
      </c>
      <c r="L19" s="5">
        <v>1767.7</v>
      </c>
      <c r="M19" s="5">
        <v>1766.12</v>
      </c>
      <c r="N19" s="5">
        <v>2006.45</v>
      </c>
      <c r="O19" s="5">
        <v>1358.35</v>
      </c>
      <c r="P19" s="5">
        <v>5092963.0</v>
      </c>
      <c r="Q19" s="5">
        <v>192822.0</v>
      </c>
    </row>
    <row r="20">
      <c r="A20" s="6">
        <v>45715.0</v>
      </c>
      <c r="B20" s="4" t="s">
        <v>17</v>
      </c>
      <c r="C20" s="5" t="str">
        <f t="shared" si="1"/>
        <v>Thursday</v>
      </c>
      <c r="D20" s="5" t="str">
        <f t="shared" si="2"/>
        <v>February</v>
      </c>
      <c r="E20" s="5" t="str">
        <f t="shared" si="3"/>
        <v>2025</v>
      </c>
      <c r="F20" s="5" t="str">
        <f t="shared" si="4"/>
        <v>Q1</v>
      </c>
      <c r="G20" s="5">
        <v>1755.2</v>
      </c>
      <c r="H20" s="5">
        <v>1775.85</v>
      </c>
      <c r="I20" s="5">
        <v>1751.1</v>
      </c>
      <c r="J20" s="5">
        <v>1767.7</v>
      </c>
      <c r="K20" s="5">
        <v>1763.0</v>
      </c>
      <c r="L20" s="5">
        <v>1764.3</v>
      </c>
      <c r="M20" s="5">
        <v>1763.43</v>
      </c>
      <c r="N20" s="5">
        <v>2006.45</v>
      </c>
      <c r="O20" s="5">
        <v>1358.35</v>
      </c>
      <c r="P20" s="5">
        <v>5757079.0</v>
      </c>
      <c r="Q20" s="5">
        <v>168385.0</v>
      </c>
    </row>
    <row r="21">
      <c r="A21" s="6">
        <v>45716.0</v>
      </c>
      <c r="B21" s="4" t="s">
        <v>17</v>
      </c>
      <c r="C21" s="5" t="str">
        <f t="shared" si="1"/>
        <v>Friday</v>
      </c>
      <c r="D21" s="5" t="str">
        <f t="shared" si="2"/>
        <v>February</v>
      </c>
      <c r="E21" s="5" t="str">
        <f t="shared" si="3"/>
        <v>2025</v>
      </c>
      <c r="F21" s="5" t="str">
        <f t="shared" si="4"/>
        <v>Q1</v>
      </c>
      <c r="G21" s="5">
        <v>1755.05</v>
      </c>
      <c r="H21" s="5">
        <v>1755.1</v>
      </c>
      <c r="I21" s="5">
        <v>1682.45</v>
      </c>
      <c r="J21" s="5">
        <v>1764.3</v>
      </c>
      <c r="K21" s="5">
        <v>1693.0</v>
      </c>
      <c r="L21" s="5">
        <v>1687.7</v>
      </c>
      <c r="M21" s="5">
        <v>1694.54</v>
      </c>
      <c r="N21" s="5">
        <v>2006.45</v>
      </c>
      <c r="O21" s="5">
        <v>1358.35</v>
      </c>
      <c r="P21" s="5">
        <v>1.2182167E7</v>
      </c>
      <c r="Q21" s="5">
        <v>460200.0</v>
      </c>
    </row>
    <row r="22">
      <c r="A22" s="3">
        <v>45719.0</v>
      </c>
      <c r="B22" s="4" t="s">
        <v>17</v>
      </c>
      <c r="C22" s="5" t="str">
        <f t="shared" si="1"/>
        <v>Monday</v>
      </c>
      <c r="D22" s="5" t="str">
        <f t="shared" si="2"/>
        <v>March</v>
      </c>
      <c r="E22" s="5" t="str">
        <f t="shared" si="3"/>
        <v>2025</v>
      </c>
      <c r="F22" s="5" t="str">
        <f t="shared" si="4"/>
        <v>Q1</v>
      </c>
      <c r="G22" s="5">
        <v>1692.3</v>
      </c>
      <c r="H22" s="5">
        <v>1728.6</v>
      </c>
      <c r="I22" s="5">
        <v>1692.3</v>
      </c>
      <c r="J22" s="5">
        <v>1687.7</v>
      </c>
      <c r="K22" s="5">
        <v>1711.0</v>
      </c>
      <c r="L22" s="5">
        <v>1708.6</v>
      </c>
      <c r="M22" s="5">
        <v>1711.06</v>
      </c>
      <c r="N22" s="5">
        <v>2006.45</v>
      </c>
      <c r="O22" s="5">
        <v>1358.35</v>
      </c>
      <c r="P22" s="5">
        <v>7504969.0</v>
      </c>
      <c r="Q22" s="5">
        <v>286660.0</v>
      </c>
    </row>
    <row r="23">
      <c r="A23" s="3">
        <v>45720.0</v>
      </c>
      <c r="B23" s="4" t="s">
        <v>17</v>
      </c>
      <c r="C23" s="5" t="str">
        <f t="shared" si="1"/>
        <v>Tuesday</v>
      </c>
      <c r="D23" s="5" t="str">
        <f t="shared" si="2"/>
        <v>March</v>
      </c>
      <c r="E23" s="5" t="str">
        <f t="shared" si="3"/>
        <v>2025</v>
      </c>
      <c r="F23" s="5" t="str">
        <f t="shared" si="4"/>
        <v>Q1</v>
      </c>
      <c r="G23" s="5">
        <v>1695.0</v>
      </c>
      <c r="H23" s="5">
        <v>1699.0</v>
      </c>
      <c r="I23" s="5">
        <v>1670.0</v>
      </c>
      <c r="J23" s="5">
        <v>1708.6</v>
      </c>
      <c r="K23" s="5">
        <v>1684.0</v>
      </c>
      <c r="L23" s="5">
        <v>1688.3</v>
      </c>
      <c r="M23" s="5">
        <v>1686.14</v>
      </c>
      <c r="N23" s="5">
        <v>2006.45</v>
      </c>
      <c r="O23" s="5">
        <v>1358.35</v>
      </c>
      <c r="P23" s="5">
        <v>6759673.0</v>
      </c>
      <c r="Q23" s="5">
        <v>244487.0</v>
      </c>
    </row>
    <row r="24">
      <c r="A24" s="3">
        <v>45721.0</v>
      </c>
      <c r="B24" s="4" t="s">
        <v>17</v>
      </c>
      <c r="C24" s="5" t="str">
        <f t="shared" si="1"/>
        <v>Wednesday</v>
      </c>
      <c r="D24" s="5" t="str">
        <f t="shared" si="2"/>
        <v>March</v>
      </c>
      <c r="E24" s="5" t="str">
        <f t="shared" si="3"/>
        <v>2025</v>
      </c>
      <c r="F24" s="5" t="str">
        <f t="shared" si="4"/>
        <v>Q1</v>
      </c>
      <c r="G24" s="5">
        <v>1692.45</v>
      </c>
      <c r="H24" s="5">
        <v>1732.95</v>
      </c>
      <c r="I24" s="5">
        <v>1692.45</v>
      </c>
      <c r="J24" s="5">
        <v>1688.3</v>
      </c>
      <c r="K24" s="5">
        <v>1707.0</v>
      </c>
      <c r="L24" s="5">
        <v>1711.5</v>
      </c>
      <c r="M24" s="5">
        <v>1714.51</v>
      </c>
      <c r="N24" s="5">
        <v>2006.45</v>
      </c>
      <c r="O24" s="5">
        <v>1358.35</v>
      </c>
      <c r="P24" s="5">
        <v>8180782.0</v>
      </c>
      <c r="Q24" s="5">
        <v>184308.0</v>
      </c>
    </row>
    <row r="25">
      <c r="A25" s="3">
        <v>45722.0</v>
      </c>
      <c r="B25" s="4" t="s">
        <v>17</v>
      </c>
      <c r="C25" s="5" t="str">
        <f t="shared" si="1"/>
        <v>Thursday</v>
      </c>
      <c r="D25" s="5" t="str">
        <f t="shared" si="2"/>
        <v>March</v>
      </c>
      <c r="E25" s="5" t="str">
        <f t="shared" si="3"/>
        <v>2025</v>
      </c>
      <c r="F25" s="5" t="str">
        <f t="shared" si="4"/>
        <v>Q1</v>
      </c>
      <c r="G25" s="5">
        <v>1715.0</v>
      </c>
      <c r="H25" s="5">
        <v>1722.3</v>
      </c>
      <c r="I25" s="5">
        <v>1691.1</v>
      </c>
      <c r="J25" s="5">
        <v>1711.5</v>
      </c>
      <c r="K25" s="5">
        <v>1712.0</v>
      </c>
      <c r="L25" s="5">
        <v>1715.85</v>
      </c>
      <c r="M25" s="5">
        <v>1709.66</v>
      </c>
      <c r="N25" s="5">
        <v>2006.45</v>
      </c>
      <c r="O25" s="5">
        <v>1358.35</v>
      </c>
      <c r="P25" s="5">
        <v>1.0610547E7</v>
      </c>
      <c r="Q25" s="5">
        <v>236281.0</v>
      </c>
    </row>
    <row r="26">
      <c r="A26" s="3">
        <v>45723.0</v>
      </c>
      <c r="B26" s="4" t="s">
        <v>17</v>
      </c>
      <c r="C26" s="5" t="str">
        <f t="shared" si="1"/>
        <v>Friday</v>
      </c>
      <c r="D26" s="5" t="str">
        <f t="shared" si="2"/>
        <v>March</v>
      </c>
      <c r="E26" s="5" t="str">
        <f t="shared" si="3"/>
        <v>2025</v>
      </c>
      <c r="F26" s="5" t="str">
        <f t="shared" si="4"/>
        <v>Q1</v>
      </c>
      <c r="G26" s="5">
        <v>1703.1</v>
      </c>
      <c r="H26" s="5">
        <v>1705.0</v>
      </c>
      <c r="I26" s="5">
        <v>1675.5</v>
      </c>
      <c r="J26" s="5">
        <v>1715.85</v>
      </c>
      <c r="K26" s="5">
        <v>1685.0</v>
      </c>
      <c r="L26" s="5">
        <v>1686.0</v>
      </c>
      <c r="M26" s="5">
        <v>1686.32</v>
      </c>
      <c r="N26" s="5">
        <v>2006.45</v>
      </c>
      <c r="O26" s="5">
        <v>1358.35</v>
      </c>
      <c r="P26" s="5">
        <v>8019331.0</v>
      </c>
      <c r="Q26" s="5">
        <v>234031.0</v>
      </c>
    </row>
    <row r="27">
      <c r="A27" s="6">
        <v>45726.0</v>
      </c>
      <c r="B27" s="4" t="s">
        <v>17</v>
      </c>
      <c r="C27" s="5" t="str">
        <f t="shared" si="1"/>
        <v>Monday</v>
      </c>
      <c r="D27" s="5" t="str">
        <f t="shared" si="2"/>
        <v>March</v>
      </c>
      <c r="E27" s="5" t="str">
        <f t="shared" si="3"/>
        <v>2025</v>
      </c>
      <c r="F27" s="5" t="str">
        <f t="shared" si="4"/>
        <v>Q1</v>
      </c>
      <c r="G27" s="5">
        <v>1686.0</v>
      </c>
      <c r="H27" s="5">
        <v>1719.0</v>
      </c>
      <c r="I27" s="5">
        <v>1676.2</v>
      </c>
      <c r="J27" s="5">
        <v>1686.0</v>
      </c>
      <c r="K27" s="5">
        <v>1700.05</v>
      </c>
      <c r="L27" s="5">
        <v>1701.45</v>
      </c>
      <c r="M27" s="5">
        <v>1703.14</v>
      </c>
      <c r="N27" s="5">
        <v>2006.45</v>
      </c>
      <c r="O27" s="5">
        <v>1358.35</v>
      </c>
      <c r="P27" s="5">
        <v>7558981.0</v>
      </c>
      <c r="Q27" s="5">
        <v>184536.0</v>
      </c>
    </row>
    <row r="28">
      <c r="A28" s="6">
        <v>45727.0</v>
      </c>
      <c r="B28" s="4" t="s">
        <v>17</v>
      </c>
      <c r="C28" s="5" t="str">
        <f t="shared" si="1"/>
        <v>Tuesday</v>
      </c>
      <c r="D28" s="5" t="str">
        <f t="shared" si="2"/>
        <v>March</v>
      </c>
      <c r="E28" s="5" t="str">
        <f t="shared" si="3"/>
        <v>2025</v>
      </c>
      <c r="F28" s="5" t="str">
        <f t="shared" si="4"/>
        <v>Q1</v>
      </c>
      <c r="G28" s="5">
        <v>1680.0</v>
      </c>
      <c r="H28" s="5">
        <v>1680.0</v>
      </c>
      <c r="I28" s="5">
        <v>1637.05</v>
      </c>
      <c r="J28" s="5">
        <v>1701.45</v>
      </c>
      <c r="K28" s="5">
        <v>1667.0</v>
      </c>
      <c r="L28" s="5">
        <v>1661.6</v>
      </c>
      <c r="M28" s="5">
        <v>1655.07</v>
      </c>
      <c r="N28" s="5">
        <v>2006.45</v>
      </c>
      <c r="O28" s="5">
        <v>1358.35</v>
      </c>
      <c r="P28" s="5">
        <v>1.2671234E7</v>
      </c>
      <c r="Q28" s="5">
        <v>259181.0</v>
      </c>
    </row>
    <row r="29">
      <c r="A29" s="6">
        <v>45728.0</v>
      </c>
      <c r="B29" s="4" t="s">
        <v>17</v>
      </c>
      <c r="C29" s="5" t="str">
        <f t="shared" si="1"/>
        <v>Wednesday</v>
      </c>
      <c r="D29" s="5" t="str">
        <f t="shared" si="2"/>
        <v>March</v>
      </c>
      <c r="E29" s="5" t="str">
        <f t="shared" si="3"/>
        <v>2025</v>
      </c>
      <c r="F29" s="5" t="str">
        <f t="shared" si="4"/>
        <v>Q1</v>
      </c>
      <c r="G29" s="5">
        <v>1636.9</v>
      </c>
      <c r="H29" s="5">
        <v>1636.9</v>
      </c>
      <c r="I29" s="5">
        <v>1563.8</v>
      </c>
      <c r="J29" s="5">
        <v>1661.6</v>
      </c>
      <c r="K29" s="5">
        <v>1590.05</v>
      </c>
      <c r="L29" s="5">
        <v>1590.85</v>
      </c>
      <c r="M29" s="5">
        <v>1586.51</v>
      </c>
      <c r="N29" s="5">
        <v>2006.45</v>
      </c>
      <c r="O29" s="5">
        <v>1358.35</v>
      </c>
      <c r="P29" s="5">
        <v>1.4870008E7</v>
      </c>
      <c r="Q29" s="5">
        <v>491121.0</v>
      </c>
    </row>
    <row r="30">
      <c r="A30" s="6">
        <v>45729.0</v>
      </c>
      <c r="B30" s="4" t="s">
        <v>17</v>
      </c>
      <c r="C30" s="5" t="str">
        <f t="shared" si="1"/>
        <v>Thursday</v>
      </c>
      <c r="D30" s="5" t="str">
        <f t="shared" si="2"/>
        <v>March</v>
      </c>
      <c r="E30" s="5" t="str">
        <f t="shared" si="3"/>
        <v>2025</v>
      </c>
      <c r="F30" s="5" t="str">
        <f t="shared" si="4"/>
        <v>Q1</v>
      </c>
      <c r="G30" s="5">
        <v>1599.25</v>
      </c>
      <c r="H30" s="5">
        <v>1606.05</v>
      </c>
      <c r="I30" s="5">
        <v>1570.3</v>
      </c>
      <c r="J30" s="5">
        <v>1590.85</v>
      </c>
      <c r="K30" s="5">
        <v>1579.0</v>
      </c>
      <c r="L30" s="5">
        <v>1579.85</v>
      </c>
      <c r="M30" s="5">
        <v>1582.31</v>
      </c>
      <c r="N30" s="5">
        <v>2006.45</v>
      </c>
      <c r="O30" s="5">
        <v>1358.35</v>
      </c>
      <c r="P30" s="5">
        <v>7822888.0</v>
      </c>
      <c r="Q30" s="5">
        <v>258464.0</v>
      </c>
    </row>
    <row r="31">
      <c r="A31" s="6">
        <v>45733.0</v>
      </c>
      <c r="B31" s="4" t="s">
        <v>17</v>
      </c>
      <c r="C31" s="5" t="str">
        <f t="shared" si="1"/>
        <v>Monday</v>
      </c>
      <c r="D31" s="5" t="str">
        <f t="shared" si="2"/>
        <v>March</v>
      </c>
      <c r="E31" s="5" t="str">
        <f t="shared" si="3"/>
        <v>2025</v>
      </c>
      <c r="F31" s="5" t="str">
        <f t="shared" si="4"/>
        <v>Q1</v>
      </c>
      <c r="G31" s="5">
        <v>1545.15</v>
      </c>
      <c r="H31" s="5">
        <v>1594.0</v>
      </c>
      <c r="I31" s="5">
        <v>1545.15</v>
      </c>
      <c r="J31" s="5">
        <v>1579.85</v>
      </c>
      <c r="K31" s="5">
        <v>1590.0</v>
      </c>
      <c r="L31" s="5">
        <v>1590.05</v>
      </c>
      <c r="M31" s="5">
        <v>1581.7</v>
      </c>
      <c r="N31" s="5">
        <v>2006.45</v>
      </c>
      <c r="O31" s="5">
        <v>1358.35</v>
      </c>
      <c r="P31" s="5">
        <v>7526032.0</v>
      </c>
      <c r="Q31" s="5">
        <v>220262.0</v>
      </c>
    </row>
    <row r="32">
      <c r="A32" s="6">
        <v>45734.0</v>
      </c>
      <c r="B32" s="4" t="s">
        <v>17</v>
      </c>
      <c r="C32" s="5" t="str">
        <f t="shared" si="1"/>
        <v>Tuesday</v>
      </c>
      <c r="D32" s="5" t="str">
        <f t="shared" si="2"/>
        <v>March</v>
      </c>
      <c r="E32" s="5" t="str">
        <f t="shared" si="3"/>
        <v>2025</v>
      </c>
      <c r="F32" s="5" t="str">
        <f t="shared" si="4"/>
        <v>Q1</v>
      </c>
      <c r="G32" s="5">
        <v>1597.65</v>
      </c>
      <c r="H32" s="5">
        <v>1612.9</v>
      </c>
      <c r="I32" s="5">
        <v>1582.35</v>
      </c>
      <c r="J32" s="5">
        <v>1590.05</v>
      </c>
      <c r="K32" s="5">
        <v>1608.2</v>
      </c>
      <c r="L32" s="5">
        <v>1609.35</v>
      </c>
      <c r="M32" s="5">
        <v>1602.43</v>
      </c>
      <c r="N32" s="5">
        <v>2006.45</v>
      </c>
      <c r="O32" s="5">
        <v>1358.35</v>
      </c>
      <c r="P32" s="5">
        <v>6298054.0</v>
      </c>
      <c r="Q32" s="5">
        <v>157097.0</v>
      </c>
    </row>
    <row r="33">
      <c r="A33" s="6">
        <v>45735.0</v>
      </c>
      <c r="B33" s="4" t="s">
        <v>17</v>
      </c>
      <c r="C33" s="5" t="str">
        <f t="shared" si="1"/>
        <v>Wednesday</v>
      </c>
      <c r="D33" s="5" t="str">
        <f t="shared" si="2"/>
        <v>March</v>
      </c>
      <c r="E33" s="5" t="str">
        <f t="shared" si="3"/>
        <v>2025</v>
      </c>
      <c r="F33" s="5" t="str">
        <f t="shared" si="4"/>
        <v>Q1</v>
      </c>
      <c r="G33" s="5">
        <v>1603.0</v>
      </c>
      <c r="H33" s="5">
        <v>1603.0</v>
      </c>
      <c r="I33" s="5">
        <v>1572.8</v>
      </c>
      <c r="J33" s="5">
        <v>1609.35</v>
      </c>
      <c r="K33" s="5">
        <v>1589.1</v>
      </c>
      <c r="L33" s="5">
        <v>1586.55</v>
      </c>
      <c r="M33" s="5">
        <v>1583.14</v>
      </c>
      <c r="N33" s="5">
        <v>2006.45</v>
      </c>
      <c r="O33" s="5">
        <v>1358.35</v>
      </c>
      <c r="P33" s="5">
        <v>7387068.0</v>
      </c>
      <c r="Q33" s="5">
        <v>250311.0</v>
      </c>
    </row>
    <row r="34">
      <c r="A34" s="6">
        <v>45736.0</v>
      </c>
      <c r="B34" s="4" t="s">
        <v>17</v>
      </c>
      <c r="C34" s="5" t="str">
        <f t="shared" si="1"/>
        <v>Thursday</v>
      </c>
      <c r="D34" s="5" t="str">
        <f t="shared" si="2"/>
        <v>March</v>
      </c>
      <c r="E34" s="5" t="str">
        <f t="shared" si="3"/>
        <v>2025</v>
      </c>
      <c r="F34" s="5" t="str">
        <f t="shared" si="4"/>
        <v>Q1</v>
      </c>
      <c r="G34" s="5">
        <v>1592.0</v>
      </c>
      <c r="H34" s="5">
        <v>1631.9</v>
      </c>
      <c r="I34" s="5">
        <v>1592.0</v>
      </c>
      <c r="J34" s="5">
        <v>1586.55</v>
      </c>
      <c r="K34" s="5">
        <v>1609.05</v>
      </c>
      <c r="L34" s="5">
        <v>1615.55</v>
      </c>
      <c r="M34" s="5">
        <v>1616.31</v>
      </c>
      <c r="N34" s="5">
        <v>2006.45</v>
      </c>
      <c r="O34" s="5">
        <v>1358.35</v>
      </c>
      <c r="P34" s="5">
        <v>7186750.0</v>
      </c>
      <c r="Q34" s="5">
        <v>229276.0</v>
      </c>
    </row>
    <row r="35">
      <c r="A35" s="6">
        <v>45737.0</v>
      </c>
      <c r="B35" s="4" t="s">
        <v>17</v>
      </c>
      <c r="C35" s="5" t="str">
        <f t="shared" si="1"/>
        <v>Friday</v>
      </c>
      <c r="D35" s="5" t="str">
        <f t="shared" si="2"/>
        <v>March</v>
      </c>
      <c r="E35" s="5" t="str">
        <f t="shared" si="3"/>
        <v>2025</v>
      </c>
      <c r="F35" s="5" t="str">
        <f t="shared" si="4"/>
        <v>Q1</v>
      </c>
      <c r="G35" s="5">
        <v>1577.95</v>
      </c>
      <c r="H35" s="5">
        <v>1603.9</v>
      </c>
      <c r="I35" s="5">
        <v>1563.65</v>
      </c>
      <c r="J35" s="5">
        <v>1615.55</v>
      </c>
      <c r="K35" s="5">
        <v>1595.4</v>
      </c>
      <c r="L35" s="5">
        <v>1592.55</v>
      </c>
      <c r="M35" s="5">
        <v>1591.34</v>
      </c>
      <c r="N35" s="5">
        <v>2006.45</v>
      </c>
      <c r="O35" s="5">
        <v>1358.35</v>
      </c>
      <c r="P35" s="5">
        <v>1.0074677E7</v>
      </c>
      <c r="Q35" s="5">
        <v>241185.0</v>
      </c>
    </row>
    <row r="36">
      <c r="A36" s="6">
        <v>45740.0</v>
      </c>
      <c r="B36" s="4" t="s">
        <v>17</v>
      </c>
      <c r="C36" s="5" t="str">
        <f t="shared" si="1"/>
        <v>Monday</v>
      </c>
      <c r="D36" s="5" t="str">
        <f t="shared" si="2"/>
        <v>March</v>
      </c>
      <c r="E36" s="5" t="str">
        <f t="shared" si="3"/>
        <v>2025</v>
      </c>
      <c r="F36" s="5" t="str">
        <f t="shared" si="4"/>
        <v>Q1</v>
      </c>
      <c r="G36" s="5">
        <v>1597.95</v>
      </c>
      <c r="H36" s="5">
        <v>1607.1</v>
      </c>
      <c r="I36" s="5">
        <v>1572.7</v>
      </c>
      <c r="J36" s="5">
        <v>1592.55</v>
      </c>
      <c r="K36" s="5">
        <v>1593.95</v>
      </c>
      <c r="L36" s="5">
        <v>1592.75</v>
      </c>
      <c r="M36" s="5">
        <v>1588.76</v>
      </c>
      <c r="N36" s="5">
        <v>2006.45</v>
      </c>
      <c r="O36" s="5">
        <v>1358.35</v>
      </c>
      <c r="P36" s="5">
        <v>8857726.0</v>
      </c>
      <c r="Q36" s="5">
        <v>250512.0</v>
      </c>
    </row>
    <row r="37">
      <c r="A37" s="6">
        <v>45741.0</v>
      </c>
      <c r="B37" s="4" t="s">
        <v>17</v>
      </c>
      <c r="C37" s="5" t="str">
        <f t="shared" si="1"/>
        <v>Tuesday</v>
      </c>
      <c r="D37" s="5" t="str">
        <f t="shared" si="2"/>
        <v>March</v>
      </c>
      <c r="E37" s="5" t="str">
        <f t="shared" si="3"/>
        <v>2025</v>
      </c>
      <c r="F37" s="5" t="str">
        <f t="shared" si="4"/>
        <v>Q1</v>
      </c>
      <c r="G37" s="5">
        <v>1605.0</v>
      </c>
      <c r="H37" s="5">
        <v>1636.15</v>
      </c>
      <c r="I37" s="5">
        <v>1605.0</v>
      </c>
      <c r="J37" s="5">
        <v>1592.75</v>
      </c>
      <c r="K37" s="5">
        <v>1619.25</v>
      </c>
      <c r="L37" s="5">
        <v>1628.45</v>
      </c>
      <c r="M37" s="5">
        <v>1626.09</v>
      </c>
      <c r="N37" s="5">
        <v>2006.45</v>
      </c>
      <c r="O37" s="5">
        <v>1358.35</v>
      </c>
      <c r="P37" s="5">
        <v>9890140.0</v>
      </c>
      <c r="Q37" s="5">
        <v>266112.0</v>
      </c>
    </row>
    <row r="38">
      <c r="A38" s="6">
        <v>45742.0</v>
      </c>
      <c r="B38" s="4" t="s">
        <v>17</v>
      </c>
      <c r="C38" s="5" t="str">
        <f t="shared" si="1"/>
        <v>Wednesday</v>
      </c>
      <c r="D38" s="5" t="str">
        <f t="shared" si="2"/>
        <v>March</v>
      </c>
      <c r="E38" s="5" t="str">
        <f t="shared" si="3"/>
        <v>2025</v>
      </c>
      <c r="F38" s="5" t="str">
        <f t="shared" si="4"/>
        <v>Q1</v>
      </c>
      <c r="G38" s="5">
        <v>1626.0</v>
      </c>
      <c r="H38" s="5">
        <v>1637.75</v>
      </c>
      <c r="I38" s="5">
        <v>1595.0</v>
      </c>
      <c r="J38" s="5">
        <v>1628.45</v>
      </c>
      <c r="K38" s="5">
        <v>1599.0</v>
      </c>
      <c r="L38" s="5">
        <v>1599.45</v>
      </c>
      <c r="M38" s="5">
        <v>1610.78</v>
      </c>
      <c r="N38" s="5">
        <v>2006.45</v>
      </c>
      <c r="O38" s="5">
        <v>1358.35</v>
      </c>
      <c r="P38" s="5">
        <v>6651302.0</v>
      </c>
      <c r="Q38" s="5">
        <v>222554.0</v>
      </c>
    </row>
    <row r="39">
      <c r="A39" s="6">
        <v>45743.0</v>
      </c>
      <c r="B39" s="4" t="s">
        <v>17</v>
      </c>
      <c r="C39" s="5" t="str">
        <f t="shared" si="1"/>
        <v>Thursday</v>
      </c>
      <c r="D39" s="5" t="str">
        <f t="shared" si="2"/>
        <v>March</v>
      </c>
      <c r="E39" s="5" t="str">
        <f t="shared" si="3"/>
        <v>2025</v>
      </c>
      <c r="F39" s="5" t="str">
        <f t="shared" si="4"/>
        <v>Q1</v>
      </c>
      <c r="G39" s="5">
        <v>1595.55</v>
      </c>
      <c r="H39" s="5">
        <v>1619.95</v>
      </c>
      <c r="I39" s="5">
        <v>1586.0</v>
      </c>
      <c r="J39" s="5">
        <v>1599.45</v>
      </c>
      <c r="K39" s="5">
        <v>1605.0</v>
      </c>
      <c r="L39" s="5">
        <v>1603.55</v>
      </c>
      <c r="M39" s="5">
        <v>1601.41</v>
      </c>
      <c r="N39" s="5">
        <v>2006.45</v>
      </c>
      <c r="O39" s="5">
        <v>1358.35</v>
      </c>
      <c r="P39" s="5">
        <v>9426573.0</v>
      </c>
      <c r="Q39" s="5">
        <v>201020.0</v>
      </c>
    </row>
    <row r="40">
      <c r="A40" s="6">
        <v>45744.0</v>
      </c>
      <c r="B40" s="4" t="s">
        <v>17</v>
      </c>
      <c r="C40" s="5" t="str">
        <f t="shared" si="1"/>
        <v>Friday</v>
      </c>
      <c r="D40" s="5" t="str">
        <f t="shared" si="2"/>
        <v>March</v>
      </c>
      <c r="E40" s="5" t="str">
        <f t="shared" si="3"/>
        <v>2025</v>
      </c>
      <c r="F40" s="5" t="str">
        <f t="shared" si="4"/>
        <v>Q1</v>
      </c>
      <c r="G40" s="5">
        <v>1590.0</v>
      </c>
      <c r="H40" s="5">
        <v>1598.45</v>
      </c>
      <c r="I40" s="5">
        <v>1560.0</v>
      </c>
      <c r="J40" s="5">
        <v>1603.55</v>
      </c>
      <c r="K40" s="5">
        <v>1569.0</v>
      </c>
      <c r="L40" s="5">
        <v>1570.65</v>
      </c>
      <c r="M40" s="5">
        <v>1576.42</v>
      </c>
      <c r="N40" s="5">
        <v>2006.45</v>
      </c>
      <c r="O40" s="5">
        <v>1358.35</v>
      </c>
      <c r="P40" s="5">
        <v>6799047.0</v>
      </c>
      <c r="Q40" s="5">
        <v>217515.0</v>
      </c>
    </row>
    <row r="41">
      <c r="A41" s="3">
        <v>45748.0</v>
      </c>
      <c r="B41" s="4" t="s">
        <v>17</v>
      </c>
      <c r="C41" s="5" t="str">
        <f t="shared" si="1"/>
        <v>Tuesday</v>
      </c>
      <c r="D41" s="5" t="str">
        <f t="shared" si="2"/>
        <v>April</v>
      </c>
      <c r="E41" s="5" t="str">
        <f t="shared" si="3"/>
        <v>2025</v>
      </c>
      <c r="F41" s="5" t="str">
        <f t="shared" si="4"/>
        <v>Q2</v>
      </c>
      <c r="G41" s="5">
        <v>1539.25</v>
      </c>
      <c r="H41" s="5">
        <v>1547.4</v>
      </c>
      <c r="I41" s="5">
        <v>1517.85</v>
      </c>
      <c r="J41" s="5">
        <v>1570.65</v>
      </c>
      <c r="K41" s="5">
        <v>1530.2</v>
      </c>
      <c r="L41" s="5">
        <v>1526.5</v>
      </c>
      <c r="M41" s="5">
        <v>1529.41</v>
      </c>
      <c r="N41" s="5">
        <v>2006.45</v>
      </c>
      <c r="O41" s="5">
        <v>1358.35</v>
      </c>
      <c r="P41" s="5">
        <v>1.2680733E7</v>
      </c>
      <c r="Q41" s="5">
        <v>328764.0</v>
      </c>
    </row>
    <row r="42">
      <c r="A42" s="3">
        <v>45749.0</v>
      </c>
      <c r="B42" s="4" t="s">
        <v>17</v>
      </c>
      <c r="C42" s="5" t="str">
        <f t="shared" si="1"/>
        <v>Wednesday</v>
      </c>
      <c r="D42" s="5" t="str">
        <f t="shared" si="2"/>
        <v>April</v>
      </c>
      <c r="E42" s="5" t="str">
        <f t="shared" si="3"/>
        <v>2025</v>
      </c>
      <c r="F42" s="5" t="str">
        <f t="shared" si="4"/>
        <v>Q2</v>
      </c>
      <c r="G42" s="5">
        <v>1535.2</v>
      </c>
      <c r="H42" s="5">
        <v>1555.65</v>
      </c>
      <c r="I42" s="5">
        <v>1535.2</v>
      </c>
      <c r="J42" s="5">
        <v>1526.5</v>
      </c>
      <c r="K42" s="5">
        <v>1550.0</v>
      </c>
      <c r="L42" s="5">
        <v>1550.15</v>
      </c>
      <c r="M42" s="5">
        <v>1547.09</v>
      </c>
      <c r="N42" s="5">
        <v>2006.45</v>
      </c>
      <c r="O42" s="5">
        <v>1358.35</v>
      </c>
      <c r="P42" s="5">
        <v>6193478.0</v>
      </c>
      <c r="Q42" s="5">
        <v>183381.0</v>
      </c>
    </row>
    <row r="43">
      <c r="A43" s="3">
        <v>45750.0</v>
      </c>
      <c r="B43" s="4" t="s">
        <v>17</v>
      </c>
      <c r="C43" s="5" t="str">
        <f t="shared" si="1"/>
        <v>Thursday</v>
      </c>
      <c r="D43" s="5" t="str">
        <f t="shared" si="2"/>
        <v>April</v>
      </c>
      <c r="E43" s="5" t="str">
        <f t="shared" si="3"/>
        <v>2025</v>
      </c>
      <c r="F43" s="5" t="str">
        <f t="shared" si="4"/>
        <v>Q2</v>
      </c>
      <c r="G43" s="5">
        <v>1534.65</v>
      </c>
      <c r="H43" s="5">
        <v>1534.65</v>
      </c>
      <c r="I43" s="5">
        <v>1485.05</v>
      </c>
      <c r="J43" s="5">
        <v>1550.15</v>
      </c>
      <c r="K43" s="5">
        <v>1495.8</v>
      </c>
      <c r="L43" s="5">
        <v>1496.5</v>
      </c>
      <c r="M43" s="5">
        <v>1499.79</v>
      </c>
      <c r="N43" s="5">
        <v>2006.45</v>
      </c>
      <c r="O43" s="5">
        <v>1358.35</v>
      </c>
      <c r="P43" s="5">
        <v>1.0459504E7</v>
      </c>
      <c r="Q43" s="5">
        <v>390507.0</v>
      </c>
    </row>
    <row r="44">
      <c r="A44" s="3">
        <v>45751.0</v>
      </c>
      <c r="B44" s="4" t="s">
        <v>17</v>
      </c>
      <c r="C44" s="5" t="str">
        <f t="shared" si="1"/>
        <v>Friday</v>
      </c>
      <c r="D44" s="5" t="str">
        <f t="shared" si="2"/>
        <v>April</v>
      </c>
      <c r="E44" s="5" t="str">
        <f t="shared" si="3"/>
        <v>2025</v>
      </c>
      <c r="F44" s="5" t="str">
        <f t="shared" si="4"/>
        <v>Q2</v>
      </c>
      <c r="G44" s="5">
        <v>1460.5</v>
      </c>
      <c r="H44" s="5">
        <v>1472.0</v>
      </c>
      <c r="I44" s="5">
        <v>1448.0</v>
      </c>
      <c r="J44" s="5">
        <v>1496.5</v>
      </c>
      <c r="K44" s="5">
        <v>1456.1</v>
      </c>
      <c r="L44" s="5">
        <v>1451.65</v>
      </c>
      <c r="M44" s="5">
        <v>1458.65</v>
      </c>
      <c r="N44" s="5">
        <v>2006.45</v>
      </c>
      <c r="O44" s="5">
        <v>1358.35</v>
      </c>
      <c r="P44" s="5">
        <v>9590254.0</v>
      </c>
      <c r="Q44" s="5">
        <v>245192.0</v>
      </c>
    </row>
    <row r="45">
      <c r="A45" s="3">
        <v>45754.0</v>
      </c>
      <c r="B45" s="4" t="s">
        <v>17</v>
      </c>
      <c r="C45" s="5" t="str">
        <f t="shared" si="1"/>
        <v>Monday</v>
      </c>
      <c r="D45" s="5" t="str">
        <f t="shared" si="2"/>
        <v>April</v>
      </c>
      <c r="E45" s="5" t="str">
        <f t="shared" si="3"/>
        <v>2025</v>
      </c>
      <c r="F45" s="5" t="str">
        <f t="shared" si="4"/>
        <v>Q2</v>
      </c>
      <c r="G45" s="5">
        <v>1352.0</v>
      </c>
      <c r="H45" s="5">
        <v>1405.9</v>
      </c>
      <c r="I45" s="5">
        <v>1307.0</v>
      </c>
      <c r="J45" s="5">
        <v>1451.65</v>
      </c>
      <c r="K45" s="5">
        <v>1404.9</v>
      </c>
      <c r="L45" s="5">
        <v>1396.75</v>
      </c>
      <c r="M45" s="5">
        <v>1365.23</v>
      </c>
      <c r="N45" s="5">
        <v>2006.45</v>
      </c>
      <c r="O45" s="5">
        <v>1307.0</v>
      </c>
      <c r="P45" s="5">
        <v>2.1715252E7</v>
      </c>
      <c r="Q45" s="5">
        <v>445720.0</v>
      </c>
    </row>
    <row r="46">
      <c r="A46" s="3">
        <v>45755.0</v>
      </c>
      <c r="B46" s="4" t="s">
        <v>17</v>
      </c>
      <c r="C46" s="5" t="str">
        <f t="shared" si="1"/>
        <v>Tuesday</v>
      </c>
      <c r="D46" s="5" t="str">
        <f t="shared" si="2"/>
        <v>April</v>
      </c>
      <c r="E46" s="5" t="str">
        <f t="shared" si="3"/>
        <v>2025</v>
      </c>
      <c r="F46" s="5" t="str">
        <f t="shared" si="4"/>
        <v>Q2</v>
      </c>
      <c r="G46" s="5">
        <v>1431.0</v>
      </c>
      <c r="H46" s="5">
        <v>1456.5</v>
      </c>
      <c r="I46" s="5">
        <v>1415.0</v>
      </c>
      <c r="J46" s="5">
        <v>1396.75</v>
      </c>
      <c r="K46" s="5">
        <v>1428.0</v>
      </c>
      <c r="L46" s="5">
        <v>1428.8</v>
      </c>
      <c r="M46" s="5">
        <v>1435.73</v>
      </c>
      <c r="N46" s="5">
        <v>2006.45</v>
      </c>
      <c r="O46" s="5">
        <v>1307.0</v>
      </c>
      <c r="P46" s="5">
        <v>1.2805001E7</v>
      </c>
      <c r="Q46" s="5">
        <v>254762.0</v>
      </c>
    </row>
    <row r="47">
      <c r="A47" s="3">
        <v>45756.0</v>
      </c>
      <c r="B47" s="4" t="s">
        <v>17</v>
      </c>
      <c r="C47" s="5" t="str">
        <f t="shared" si="1"/>
        <v>Wednesday</v>
      </c>
      <c r="D47" s="5" t="str">
        <f t="shared" si="2"/>
        <v>April</v>
      </c>
      <c r="E47" s="5" t="str">
        <f t="shared" si="3"/>
        <v>2025</v>
      </c>
      <c r="F47" s="5" t="str">
        <f t="shared" si="4"/>
        <v>Q2</v>
      </c>
      <c r="G47" s="5">
        <v>1405.05</v>
      </c>
      <c r="H47" s="5">
        <v>1409.45</v>
      </c>
      <c r="I47" s="5">
        <v>1381.9</v>
      </c>
      <c r="J47" s="5">
        <v>1428.8</v>
      </c>
      <c r="K47" s="5">
        <v>1402.0</v>
      </c>
      <c r="L47" s="5">
        <v>1403.7</v>
      </c>
      <c r="M47" s="5">
        <v>1396.23</v>
      </c>
      <c r="N47" s="5">
        <v>2006.45</v>
      </c>
      <c r="O47" s="5">
        <v>1307.0</v>
      </c>
      <c r="P47" s="5">
        <v>8546854.0</v>
      </c>
      <c r="Q47" s="5">
        <v>220436.0</v>
      </c>
    </row>
    <row r="48">
      <c r="A48" s="6">
        <v>45758.0</v>
      </c>
      <c r="B48" s="4" t="s">
        <v>17</v>
      </c>
      <c r="C48" s="5" t="str">
        <f t="shared" si="1"/>
        <v>Friday</v>
      </c>
      <c r="D48" s="5" t="str">
        <f t="shared" si="2"/>
        <v>April</v>
      </c>
      <c r="E48" s="5" t="str">
        <f t="shared" si="3"/>
        <v>2025</v>
      </c>
      <c r="F48" s="5" t="str">
        <f t="shared" si="4"/>
        <v>Q2</v>
      </c>
      <c r="G48" s="5">
        <v>1411.25</v>
      </c>
      <c r="H48" s="5">
        <v>1438.8</v>
      </c>
      <c r="I48" s="5">
        <v>1397.05</v>
      </c>
      <c r="J48" s="5">
        <v>1403.7</v>
      </c>
      <c r="K48" s="5">
        <v>1416.8</v>
      </c>
      <c r="L48" s="5">
        <v>1409.45</v>
      </c>
      <c r="M48" s="5">
        <v>1418.1</v>
      </c>
      <c r="N48" s="5">
        <v>2006.45</v>
      </c>
      <c r="O48" s="5">
        <v>1307.0</v>
      </c>
      <c r="P48" s="5">
        <v>1.256744E7</v>
      </c>
      <c r="Q48" s="5">
        <v>262867.0</v>
      </c>
    </row>
    <row r="49">
      <c r="A49" s="6">
        <v>45762.0</v>
      </c>
      <c r="B49" s="4" t="s">
        <v>17</v>
      </c>
      <c r="C49" s="5" t="str">
        <f t="shared" si="1"/>
        <v>Tuesday</v>
      </c>
      <c r="D49" s="5" t="str">
        <f t="shared" si="2"/>
        <v>April</v>
      </c>
      <c r="E49" s="5" t="str">
        <f t="shared" si="3"/>
        <v>2025</v>
      </c>
      <c r="F49" s="5" t="str">
        <f t="shared" si="4"/>
        <v>Q2</v>
      </c>
      <c r="G49" s="5">
        <v>1445.6</v>
      </c>
      <c r="H49" s="5">
        <v>1447.7</v>
      </c>
      <c r="I49" s="5">
        <v>1409.0</v>
      </c>
      <c r="J49" s="5">
        <v>1409.45</v>
      </c>
      <c r="K49" s="5">
        <v>1430.4</v>
      </c>
      <c r="L49" s="5">
        <v>1426.0</v>
      </c>
      <c r="M49" s="5">
        <v>1424.37</v>
      </c>
      <c r="N49" s="5">
        <v>2006.45</v>
      </c>
      <c r="O49" s="5">
        <v>1307.0</v>
      </c>
      <c r="P49" s="5">
        <v>1.017853E7</v>
      </c>
      <c r="Q49" s="5">
        <v>258203.0</v>
      </c>
    </row>
    <row r="50">
      <c r="A50" s="6">
        <v>45763.0</v>
      </c>
      <c r="B50" s="4" t="s">
        <v>17</v>
      </c>
      <c r="C50" s="5" t="str">
        <f t="shared" si="1"/>
        <v>Wednesday</v>
      </c>
      <c r="D50" s="5" t="str">
        <f t="shared" si="2"/>
        <v>April</v>
      </c>
      <c r="E50" s="5" t="str">
        <f t="shared" si="3"/>
        <v>2025</v>
      </c>
      <c r="F50" s="5" t="str">
        <f t="shared" si="4"/>
        <v>Q2</v>
      </c>
      <c r="G50" s="5">
        <v>1425.0</v>
      </c>
      <c r="H50" s="5">
        <v>1427.5</v>
      </c>
      <c r="I50" s="5">
        <v>1396.8</v>
      </c>
      <c r="J50" s="5">
        <v>1426.0</v>
      </c>
      <c r="K50" s="5">
        <v>1412.2</v>
      </c>
      <c r="L50" s="5">
        <v>1413.1</v>
      </c>
      <c r="M50" s="5">
        <v>1409.87</v>
      </c>
      <c r="N50" s="5">
        <v>2006.45</v>
      </c>
      <c r="O50" s="5">
        <v>1307.0</v>
      </c>
      <c r="P50" s="5">
        <v>1.202274E7</v>
      </c>
      <c r="Q50" s="5">
        <v>331555.0</v>
      </c>
    </row>
    <row r="51">
      <c r="A51" s="6">
        <v>45764.0</v>
      </c>
      <c r="B51" s="4" t="s">
        <v>17</v>
      </c>
      <c r="C51" s="5" t="str">
        <f t="shared" si="1"/>
        <v>Thursday</v>
      </c>
      <c r="D51" s="5" t="str">
        <f t="shared" si="2"/>
        <v>April</v>
      </c>
      <c r="E51" s="5" t="str">
        <f t="shared" si="3"/>
        <v>2025</v>
      </c>
      <c r="F51" s="5" t="str">
        <f t="shared" si="4"/>
        <v>Q2</v>
      </c>
      <c r="G51" s="5">
        <v>1398.0</v>
      </c>
      <c r="H51" s="5">
        <v>1429.8</v>
      </c>
      <c r="I51" s="5">
        <v>1378.3</v>
      </c>
      <c r="J51" s="5">
        <v>1413.1</v>
      </c>
      <c r="K51" s="5">
        <v>1427.7</v>
      </c>
      <c r="L51" s="5">
        <v>1419.5</v>
      </c>
      <c r="M51" s="5">
        <v>1400.17</v>
      </c>
      <c r="N51" s="5">
        <v>2006.45</v>
      </c>
      <c r="O51" s="5">
        <v>1307.0</v>
      </c>
      <c r="P51" s="5">
        <v>1.4264227E7</v>
      </c>
      <c r="Q51" s="5">
        <v>349779.0</v>
      </c>
    </row>
    <row r="52">
      <c r="A52" s="6">
        <v>45768.0</v>
      </c>
      <c r="B52" s="4" t="s">
        <v>17</v>
      </c>
      <c r="C52" s="5" t="str">
        <f t="shared" si="1"/>
        <v>Monday</v>
      </c>
      <c r="D52" s="5" t="str">
        <f t="shared" si="2"/>
        <v>April</v>
      </c>
      <c r="E52" s="5" t="str">
        <f t="shared" si="3"/>
        <v>2025</v>
      </c>
      <c r="F52" s="5" t="str">
        <f t="shared" si="4"/>
        <v>Q2</v>
      </c>
      <c r="G52" s="5">
        <v>1410.0</v>
      </c>
      <c r="H52" s="5">
        <v>1471.8</v>
      </c>
      <c r="I52" s="5">
        <v>1410.0</v>
      </c>
      <c r="J52" s="5">
        <v>1419.5</v>
      </c>
      <c r="K52" s="5">
        <v>1449.0</v>
      </c>
      <c r="L52" s="5">
        <v>1451.0</v>
      </c>
      <c r="M52" s="5">
        <v>1452.45</v>
      </c>
      <c r="N52" s="5">
        <v>2006.45</v>
      </c>
      <c r="O52" s="5">
        <v>1307.0</v>
      </c>
      <c r="P52" s="5">
        <v>1.564897E7</v>
      </c>
      <c r="Q52" s="5">
        <v>271048.0</v>
      </c>
    </row>
    <row r="53">
      <c r="A53" s="6">
        <v>45769.0</v>
      </c>
      <c r="B53" s="4" t="s">
        <v>17</v>
      </c>
      <c r="C53" s="5" t="str">
        <f t="shared" si="1"/>
        <v>Tuesday</v>
      </c>
      <c r="D53" s="5" t="str">
        <f t="shared" si="2"/>
        <v>April</v>
      </c>
      <c r="E53" s="5" t="str">
        <f t="shared" si="3"/>
        <v>2025</v>
      </c>
      <c r="F53" s="5" t="str">
        <f t="shared" si="4"/>
        <v>Q2</v>
      </c>
      <c r="G53" s="5">
        <v>1440.0</v>
      </c>
      <c r="H53" s="5">
        <v>1440.0</v>
      </c>
      <c r="I53" s="5">
        <v>1419.3</v>
      </c>
      <c r="J53" s="5">
        <v>1451.0</v>
      </c>
      <c r="K53" s="5">
        <v>1423.0</v>
      </c>
      <c r="L53" s="5">
        <v>1422.8</v>
      </c>
      <c r="M53" s="5">
        <v>1425.14</v>
      </c>
      <c r="N53" s="5">
        <v>2006.45</v>
      </c>
      <c r="O53" s="5">
        <v>1307.0</v>
      </c>
      <c r="P53" s="5">
        <v>9399738.0</v>
      </c>
      <c r="Q53" s="5">
        <v>245817.0</v>
      </c>
    </row>
    <row r="54">
      <c r="A54" s="6">
        <v>45770.0</v>
      </c>
      <c r="B54" s="4" t="s">
        <v>17</v>
      </c>
      <c r="C54" s="5" t="str">
        <f t="shared" si="1"/>
        <v>Wednesday</v>
      </c>
      <c r="D54" s="5" t="str">
        <f t="shared" si="2"/>
        <v>April</v>
      </c>
      <c r="E54" s="5" t="str">
        <f t="shared" si="3"/>
        <v>2025</v>
      </c>
      <c r="F54" s="5" t="str">
        <f t="shared" si="4"/>
        <v>Q2</v>
      </c>
      <c r="G54" s="5">
        <v>1446.0</v>
      </c>
      <c r="H54" s="5">
        <v>1487.8</v>
      </c>
      <c r="I54" s="5">
        <v>1439.6</v>
      </c>
      <c r="J54" s="5">
        <v>1422.8</v>
      </c>
      <c r="K54" s="5">
        <v>1476.2</v>
      </c>
      <c r="L54" s="5">
        <v>1474.9</v>
      </c>
      <c r="M54" s="5">
        <v>1471.47</v>
      </c>
      <c r="N54" s="5">
        <v>2006.45</v>
      </c>
      <c r="O54" s="5">
        <v>1307.0</v>
      </c>
      <c r="P54" s="5">
        <v>1.1136642E7</v>
      </c>
      <c r="Q54" s="5">
        <v>249560.0</v>
      </c>
    </row>
    <row r="55">
      <c r="A55" s="6">
        <v>45771.0</v>
      </c>
      <c r="B55" s="4" t="s">
        <v>17</v>
      </c>
      <c r="C55" s="5" t="str">
        <f t="shared" si="1"/>
        <v>Thursday</v>
      </c>
      <c r="D55" s="5" t="str">
        <f t="shared" si="2"/>
        <v>April</v>
      </c>
      <c r="E55" s="5" t="str">
        <f t="shared" si="3"/>
        <v>2025</v>
      </c>
      <c r="F55" s="5" t="str">
        <f t="shared" si="4"/>
        <v>Q2</v>
      </c>
      <c r="G55" s="5">
        <v>1469.9</v>
      </c>
      <c r="H55" s="5">
        <v>1482.9</v>
      </c>
      <c r="I55" s="5">
        <v>1461.5</v>
      </c>
      <c r="J55" s="5">
        <v>1474.9</v>
      </c>
      <c r="K55" s="5">
        <v>1473.0</v>
      </c>
      <c r="L55" s="5">
        <v>1471.4</v>
      </c>
      <c r="M55" s="5">
        <v>1471.62</v>
      </c>
      <c r="N55" s="5">
        <v>2006.45</v>
      </c>
      <c r="O55" s="5">
        <v>1307.0</v>
      </c>
      <c r="P55" s="5">
        <v>7114292.0</v>
      </c>
      <c r="Q55" s="5">
        <v>175991.0</v>
      </c>
    </row>
    <row r="56">
      <c r="A56" s="6">
        <v>45772.0</v>
      </c>
      <c r="B56" s="4" t="s">
        <v>17</v>
      </c>
      <c r="C56" s="5" t="str">
        <f t="shared" si="1"/>
        <v>Friday</v>
      </c>
      <c r="D56" s="5" t="str">
        <f t="shared" si="2"/>
        <v>April</v>
      </c>
      <c r="E56" s="5" t="str">
        <f t="shared" si="3"/>
        <v>2025</v>
      </c>
      <c r="F56" s="5" t="str">
        <f t="shared" si="4"/>
        <v>Q2</v>
      </c>
      <c r="G56" s="5">
        <v>1475.5</v>
      </c>
      <c r="H56" s="5">
        <v>1501.7</v>
      </c>
      <c r="I56" s="5">
        <v>1463.5</v>
      </c>
      <c r="J56" s="5">
        <v>1471.4</v>
      </c>
      <c r="K56" s="5">
        <v>1480.0</v>
      </c>
      <c r="L56" s="5">
        <v>1480.2</v>
      </c>
      <c r="M56" s="5">
        <v>1484.47</v>
      </c>
      <c r="N56" s="5">
        <v>2006.45</v>
      </c>
      <c r="O56" s="5">
        <v>1307.0</v>
      </c>
      <c r="P56" s="5">
        <v>8329979.0</v>
      </c>
      <c r="Q56" s="5">
        <v>199876.0</v>
      </c>
    </row>
    <row r="57">
      <c r="A57" s="6">
        <v>45775.0</v>
      </c>
      <c r="B57" s="4" t="s">
        <v>17</v>
      </c>
      <c r="C57" s="5" t="str">
        <f t="shared" si="1"/>
        <v>Monday</v>
      </c>
      <c r="D57" s="5" t="str">
        <f t="shared" si="2"/>
        <v>April</v>
      </c>
      <c r="E57" s="5" t="str">
        <f t="shared" si="3"/>
        <v>2025</v>
      </c>
      <c r="F57" s="5" t="str">
        <f t="shared" si="4"/>
        <v>Q2</v>
      </c>
      <c r="G57" s="5">
        <v>1480.2</v>
      </c>
      <c r="H57" s="5">
        <v>1489.6</v>
      </c>
      <c r="I57" s="5">
        <v>1465.3</v>
      </c>
      <c r="J57" s="5">
        <v>1480.2</v>
      </c>
      <c r="K57" s="5">
        <v>1481.0</v>
      </c>
      <c r="L57" s="5">
        <v>1482.1</v>
      </c>
      <c r="M57" s="5">
        <v>1478.19</v>
      </c>
      <c r="N57" s="5">
        <v>2006.45</v>
      </c>
      <c r="O57" s="5">
        <v>1307.0</v>
      </c>
      <c r="P57" s="5">
        <v>5886253.0</v>
      </c>
      <c r="Q57" s="5">
        <v>146345.0</v>
      </c>
    </row>
    <row r="58">
      <c r="A58" s="6">
        <v>45776.0</v>
      </c>
      <c r="B58" s="4" t="s">
        <v>17</v>
      </c>
      <c r="C58" s="5" t="str">
        <f t="shared" si="1"/>
        <v>Tuesday</v>
      </c>
      <c r="D58" s="5" t="str">
        <f t="shared" si="2"/>
        <v>April</v>
      </c>
      <c r="E58" s="5" t="str">
        <f t="shared" si="3"/>
        <v>2025</v>
      </c>
      <c r="F58" s="5" t="str">
        <f t="shared" si="4"/>
        <v>Q2</v>
      </c>
      <c r="G58" s="5">
        <v>1482.0</v>
      </c>
      <c r="H58" s="5">
        <v>1509.8</v>
      </c>
      <c r="I58" s="5">
        <v>1474.1</v>
      </c>
      <c r="J58" s="5">
        <v>1482.1</v>
      </c>
      <c r="K58" s="5">
        <v>1498.0</v>
      </c>
      <c r="L58" s="5">
        <v>1497.5</v>
      </c>
      <c r="M58" s="5">
        <v>1495.87</v>
      </c>
      <c r="N58" s="5">
        <v>2006.45</v>
      </c>
      <c r="O58" s="5">
        <v>1307.0</v>
      </c>
      <c r="P58" s="5">
        <v>8056743.0</v>
      </c>
      <c r="Q58" s="5">
        <v>207221.0</v>
      </c>
    </row>
    <row r="59">
      <c r="A59" s="6">
        <v>45777.0</v>
      </c>
      <c r="B59" s="4" t="s">
        <v>17</v>
      </c>
      <c r="C59" s="5" t="str">
        <f t="shared" si="1"/>
        <v>Wednesday</v>
      </c>
      <c r="D59" s="5" t="str">
        <f t="shared" si="2"/>
        <v>April</v>
      </c>
      <c r="E59" s="5" t="str">
        <f t="shared" si="3"/>
        <v>2025</v>
      </c>
      <c r="F59" s="5" t="str">
        <f t="shared" si="4"/>
        <v>Q2</v>
      </c>
      <c r="G59" s="5">
        <v>1496.8</v>
      </c>
      <c r="H59" s="5">
        <v>1508.8</v>
      </c>
      <c r="I59" s="5">
        <v>1482.6</v>
      </c>
      <c r="J59" s="5">
        <v>1497.5</v>
      </c>
      <c r="K59" s="5">
        <v>1491.5</v>
      </c>
      <c r="L59" s="5">
        <v>1500.1</v>
      </c>
      <c r="M59" s="5">
        <v>1499.93</v>
      </c>
      <c r="N59" s="5">
        <v>2006.45</v>
      </c>
      <c r="O59" s="5">
        <v>1307.0</v>
      </c>
      <c r="P59" s="5">
        <v>7704183.0</v>
      </c>
      <c r="Q59" s="5">
        <v>128359.0</v>
      </c>
    </row>
    <row r="60">
      <c r="A60" s="7">
        <v>45779.0</v>
      </c>
      <c r="B60" s="4" t="s">
        <v>17</v>
      </c>
      <c r="C60" s="5" t="str">
        <f t="shared" si="1"/>
        <v>Friday</v>
      </c>
      <c r="D60" s="5" t="str">
        <f t="shared" si="2"/>
        <v>May</v>
      </c>
      <c r="E60" s="5" t="str">
        <f t="shared" si="3"/>
        <v>2025</v>
      </c>
      <c r="F60" s="5" t="str">
        <f t="shared" si="4"/>
        <v>Q2</v>
      </c>
      <c r="G60" s="5">
        <v>1499.7</v>
      </c>
      <c r="H60" s="5">
        <v>1523.2</v>
      </c>
      <c r="I60" s="5">
        <v>1496.2</v>
      </c>
      <c r="J60" s="5">
        <v>1500.1</v>
      </c>
      <c r="K60" s="5">
        <v>1502.0</v>
      </c>
      <c r="L60" s="5">
        <v>1506.8</v>
      </c>
      <c r="M60" s="5">
        <v>1509.45</v>
      </c>
      <c r="N60" s="5">
        <v>2006.45</v>
      </c>
      <c r="O60" s="5">
        <v>1307.0</v>
      </c>
      <c r="P60" s="5">
        <v>8733014.0</v>
      </c>
      <c r="Q60" s="5">
        <v>235475.0</v>
      </c>
    </row>
    <row r="61">
      <c r="A61" s="7">
        <v>45782.0</v>
      </c>
      <c r="B61" s="4" t="s">
        <v>17</v>
      </c>
      <c r="C61" s="5" t="str">
        <f t="shared" si="1"/>
        <v>Monday</v>
      </c>
      <c r="D61" s="5" t="str">
        <f t="shared" si="2"/>
        <v>May</v>
      </c>
      <c r="E61" s="5" t="str">
        <f t="shared" si="3"/>
        <v>2025</v>
      </c>
      <c r="F61" s="5" t="str">
        <f t="shared" si="4"/>
        <v>Q2</v>
      </c>
      <c r="G61" s="5">
        <v>1515.0</v>
      </c>
      <c r="H61" s="5">
        <v>1523.0</v>
      </c>
      <c r="I61" s="5">
        <v>1502.8</v>
      </c>
      <c r="J61" s="5">
        <v>1506.8</v>
      </c>
      <c r="K61" s="5">
        <v>1507.0</v>
      </c>
      <c r="L61" s="5">
        <v>1508.6</v>
      </c>
      <c r="M61" s="5">
        <v>1509.96</v>
      </c>
      <c r="N61" s="5">
        <v>2006.45</v>
      </c>
      <c r="O61" s="5">
        <v>1307.0</v>
      </c>
      <c r="P61" s="5">
        <v>4282493.0</v>
      </c>
      <c r="Q61" s="5">
        <v>130549.0</v>
      </c>
    </row>
    <row r="62">
      <c r="A62" s="7">
        <v>45783.0</v>
      </c>
      <c r="B62" s="4" t="s">
        <v>17</v>
      </c>
      <c r="C62" s="5" t="str">
        <f t="shared" si="1"/>
        <v>Tuesday</v>
      </c>
      <c r="D62" s="5" t="str">
        <f t="shared" si="2"/>
        <v>May</v>
      </c>
      <c r="E62" s="5" t="str">
        <f t="shared" si="3"/>
        <v>2025</v>
      </c>
      <c r="F62" s="5" t="str">
        <f t="shared" si="4"/>
        <v>Q2</v>
      </c>
      <c r="G62" s="5">
        <v>1506.0</v>
      </c>
      <c r="H62" s="5">
        <v>1515.6</v>
      </c>
      <c r="I62" s="5">
        <v>1499.1</v>
      </c>
      <c r="J62" s="5">
        <v>1508.6</v>
      </c>
      <c r="K62" s="5">
        <v>1511.0</v>
      </c>
      <c r="L62" s="5">
        <v>1511.5</v>
      </c>
      <c r="M62" s="5">
        <v>1509.58</v>
      </c>
      <c r="N62" s="5">
        <v>2006.45</v>
      </c>
      <c r="O62" s="5">
        <v>1307.0</v>
      </c>
      <c r="P62" s="5">
        <v>4270530.0</v>
      </c>
      <c r="Q62" s="5">
        <v>105354.0</v>
      </c>
    </row>
    <row r="63">
      <c r="A63" s="7">
        <v>45784.0</v>
      </c>
      <c r="B63" s="4" t="s">
        <v>17</v>
      </c>
      <c r="C63" s="5" t="str">
        <f t="shared" si="1"/>
        <v>Wednesday</v>
      </c>
      <c r="D63" s="5" t="str">
        <f t="shared" si="2"/>
        <v>May</v>
      </c>
      <c r="E63" s="5" t="str">
        <f t="shared" si="3"/>
        <v>2025</v>
      </c>
      <c r="F63" s="5" t="str">
        <f t="shared" si="4"/>
        <v>Q2</v>
      </c>
      <c r="G63" s="5">
        <v>1500.0</v>
      </c>
      <c r="H63" s="5">
        <v>1518.8</v>
      </c>
      <c r="I63" s="5">
        <v>1496.6</v>
      </c>
      <c r="J63" s="5">
        <v>1511.5</v>
      </c>
      <c r="K63" s="5">
        <v>1508.8</v>
      </c>
      <c r="L63" s="5">
        <v>1508.3</v>
      </c>
      <c r="M63" s="5">
        <v>1509.03</v>
      </c>
      <c r="N63" s="5">
        <v>2006.45</v>
      </c>
      <c r="O63" s="5">
        <v>1307.0</v>
      </c>
      <c r="P63" s="5">
        <v>5691799.0</v>
      </c>
      <c r="Q63" s="5">
        <v>144103.0</v>
      </c>
    </row>
    <row r="64">
      <c r="A64" s="7">
        <v>45785.0</v>
      </c>
      <c r="B64" s="4" t="s">
        <v>17</v>
      </c>
      <c r="C64" s="5" t="str">
        <f t="shared" si="1"/>
        <v>Thursday</v>
      </c>
      <c r="D64" s="5" t="str">
        <f t="shared" si="2"/>
        <v>May</v>
      </c>
      <c r="E64" s="5" t="str">
        <f t="shared" si="3"/>
        <v>2025</v>
      </c>
      <c r="F64" s="5" t="str">
        <f t="shared" si="4"/>
        <v>Q2</v>
      </c>
      <c r="G64" s="5">
        <v>1508.0</v>
      </c>
      <c r="H64" s="5">
        <v>1516.5</v>
      </c>
      <c r="I64" s="5">
        <v>1501.2</v>
      </c>
      <c r="J64" s="5">
        <v>1508.3</v>
      </c>
      <c r="K64" s="5">
        <v>1506.0</v>
      </c>
      <c r="L64" s="5">
        <v>1511.4</v>
      </c>
      <c r="M64" s="5">
        <v>1508.8</v>
      </c>
      <c r="N64" s="5">
        <v>2006.45</v>
      </c>
      <c r="O64" s="5">
        <v>1307.0</v>
      </c>
      <c r="P64" s="5">
        <v>8424409.0</v>
      </c>
      <c r="Q64" s="5">
        <v>217543.0</v>
      </c>
    </row>
    <row r="65">
      <c r="A65" s="7">
        <v>45786.0</v>
      </c>
      <c r="B65" s="4" t="s">
        <v>17</v>
      </c>
      <c r="C65" s="5" t="str">
        <f t="shared" si="1"/>
        <v>Friday</v>
      </c>
      <c r="D65" s="5" t="str">
        <f t="shared" si="2"/>
        <v>May</v>
      </c>
      <c r="E65" s="5" t="str">
        <f t="shared" si="3"/>
        <v>2025</v>
      </c>
      <c r="F65" s="5" t="str">
        <f t="shared" si="4"/>
        <v>Q2</v>
      </c>
      <c r="G65" s="5">
        <v>1500.7</v>
      </c>
      <c r="H65" s="5">
        <v>1511.4</v>
      </c>
      <c r="I65" s="5">
        <v>1494.1</v>
      </c>
      <c r="J65" s="5">
        <v>1511.4</v>
      </c>
      <c r="K65" s="5">
        <v>1507.2</v>
      </c>
      <c r="L65" s="5">
        <v>1507.6</v>
      </c>
      <c r="M65" s="5">
        <v>1504.2</v>
      </c>
      <c r="N65" s="5">
        <v>2006.45</v>
      </c>
      <c r="O65" s="5">
        <v>1307.0</v>
      </c>
      <c r="P65" s="5">
        <v>4478653.0</v>
      </c>
      <c r="Q65" s="5">
        <v>144158.0</v>
      </c>
    </row>
    <row r="66">
      <c r="A66" s="8">
        <v>45789.0</v>
      </c>
      <c r="B66" s="4" t="s">
        <v>17</v>
      </c>
      <c r="C66" s="5" t="str">
        <f t="shared" si="1"/>
        <v>Monday</v>
      </c>
      <c r="D66" s="5" t="str">
        <f t="shared" si="2"/>
        <v>May</v>
      </c>
      <c r="E66" s="5" t="str">
        <f t="shared" si="3"/>
        <v>2025</v>
      </c>
      <c r="F66" s="5" t="str">
        <f t="shared" si="4"/>
        <v>Q2</v>
      </c>
      <c r="G66" s="5">
        <v>1537.0</v>
      </c>
      <c r="H66" s="5">
        <v>1632.0</v>
      </c>
      <c r="I66" s="5">
        <v>1532.0</v>
      </c>
      <c r="J66" s="5">
        <v>1507.6</v>
      </c>
      <c r="K66" s="5">
        <v>1623.5</v>
      </c>
      <c r="L66" s="5">
        <v>1626.9</v>
      </c>
      <c r="M66" s="5">
        <v>1593.89</v>
      </c>
      <c r="N66" s="5">
        <v>2006.45</v>
      </c>
      <c r="O66" s="5">
        <v>1307.0</v>
      </c>
      <c r="P66" s="5">
        <v>1.1372857E7</v>
      </c>
      <c r="Q66" s="5">
        <v>290108.0</v>
      </c>
    </row>
    <row r="67">
      <c r="A67" s="8">
        <v>45790.0</v>
      </c>
      <c r="B67" s="4" t="s">
        <v>17</v>
      </c>
      <c r="C67" s="5" t="str">
        <f t="shared" si="1"/>
        <v>Tuesday</v>
      </c>
      <c r="D67" s="5" t="str">
        <f t="shared" si="2"/>
        <v>May</v>
      </c>
      <c r="E67" s="5" t="str">
        <f t="shared" si="3"/>
        <v>2025</v>
      </c>
      <c r="F67" s="5" t="str">
        <f t="shared" si="4"/>
        <v>Q2</v>
      </c>
      <c r="G67" s="5">
        <v>1609.0</v>
      </c>
      <c r="H67" s="5">
        <v>1612.2</v>
      </c>
      <c r="I67" s="5">
        <v>1564.6</v>
      </c>
      <c r="J67" s="5">
        <v>1626.9</v>
      </c>
      <c r="K67" s="5">
        <v>1567.9</v>
      </c>
      <c r="L67" s="5">
        <v>1568.6</v>
      </c>
      <c r="M67" s="5">
        <v>1579.63</v>
      </c>
      <c r="N67" s="5">
        <v>2006.45</v>
      </c>
      <c r="O67" s="5">
        <v>1307.0</v>
      </c>
      <c r="P67" s="5">
        <v>1.284621E7</v>
      </c>
      <c r="Q67" s="5">
        <v>335293.0</v>
      </c>
    </row>
    <row r="68">
      <c r="A68" s="8">
        <v>45791.0</v>
      </c>
      <c r="B68" s="4" t="s">
        <v>17</v>
      </c>
      <c r="C68" s="5" t="str">
        <f t="shared" si="1"/>
        <v>Wednesday</v>
      </c>
      <c r="D68" s="5" t="str">
        <f t="shared" si="2"/>
        <v>May</v>
      </c>
      <c r="E68" s="5" t="str">
        <f t="shared" si="3"/>
        <v>2025</v>
      </c>
      <c r="F68" s="5" t="str">
        <f t="shared" si="4"/>
        <v>Q2</v>
      </c>
      <c r="G68" s="5">
        <v>1574.0</v>
      </c>
      <c r="H68" s="5">
        <v>1595.0</v>
      </c>
      <c r="I68" s="5">
        <v>1569.5</v>
      </c>
      <c r="J68" s="5">
        <v>1568.6</v>
      </c>
      <c r="K68" s="5">
        <v>1592.8</v>
      </c>
      <c r="L68" s="5">
        <v>1592.4</v>
      </c>
      <c r="M68" s="5">
        <v>1588.83</v>
      </c>
      <c r="N68" s="5">
        <v>2006.45</v>
      </c>
      <c r="O68" s="5">
        <v>1307.0</v>
      </c>
      <c r="P68" s="5">
        <v>4870057.0</v>
      </c>
      <c r="Q68" s="5">
        <v>144908.0</v>
      </c>
    </row>
    <row r="69">
      <c r="A69" s="8">
        <v>45792.0</v>
      </c>
      <c r="B69" s="4" t="s">
        <v>17</v>
      </c>
      <c r="C69" s="5" t="str">
        <f t="shared" si="1"/>
        <v>Thursday</v>
      </c>
      <c r="D69" s="5" t="str">
        <f t="shared" si="2"/>
        <v>May</v>
      </c>
      <c r="E69" s="5" t="str">
        <f t="shared" si="3"/>
        <v>2025</v>
      </c>
      <c r="F69" s="5" t="str">
        <f t="shared" si="4"/>
        <v>Q2</v>
      </c>
      <c r="G69" s="5">
        <v>1589.8</v>
      </c>
      <c r="H69" s="5">
        <v>1618.6</v>
      </c>
      <c r="I69" s="5">
        <v>1571.0</v>
      </c>
      <c r="J69" s="5">
        <v>1592.4</v>
      </c>
      <c r="K69" s="5">
        <v>1609.5</v>
      </c>
      <c r="L69" s="5">
        <v>1613.0</v>
      </c>
      <c r="M69" s="5">
        <v>1600.37</v>
      </c>
      <c r="N69" s="5">
        <v>2006.45</v>
      </c>
      <c r="O69" s="5">
        <v>1307.0</v>
      </c>
      <c r="P69" s="5">
        <v>1.1151167E7</v>
      </c>
      <c r="Q69" s="5">
        <v>226053.0</v>
      </c>
    </row>
    <row r="70">
      <c r="A70" s="8">
        <v>45793.0</v>
      </c>
      <c r="B70" s="4" t="s">
        <v>17</v>
      </c>
      <c r="C70" s="5" t="str">
        <f t="shared" si="1"/>
        <v>Friday</v>
      </c>
      <c r="D70" s="5" t="str">
        <f t="shared" si="2"/>
        <v>May</v>
      </c>
      <c r="E70" s="5" t="str">
        <f t="shared" si="3"/>
        <v>2025</v>
      </c>
      <c r="F70" s="5" t="str">
        <f t="shared" si="4"/>
        <v>Q2</v>
      </c>
      <c r="G70" s="5">
        <v>1612.6</v>
      </c>
      <c r="H70" s="5">
        <v>1612.6</v>
      </c>
      <c r="I70" s="5">
        <v>1581.5</v>
      </c>
      <c r="J70" s="5">
        <v>1613.0</v>
      </c>
      <c r="K70" s="5">
        <v>1589.4</v>
      </c>
      <c r="L70" s="5">
        <v>1589.9</v>
      </c>
      <c r="M70" s="5">
        <v>1591.32</v>
      </c>
      <c r="N70" s="5">
        <v>2006.45</v>
      </c>
      <c r="O70" s="5">
        <v>1307.0</v>
      </c>
      <c r="P70" s="5">
        <v>4576751.0</v>
      </c>
      <c r="Q70" s="5">
        <v>132211.0</v>
      </c>
    </row>
    <row r="71">
      <c r="A71" s="8">
        <v>45796.0</v>
      </c>
      <c r="B71" s="4" t="s">
        <v>17</v>
      </c>
      <c r="C71" s="5" t="str">
        <f t="shared" si="1"/>
        <v>Monday</v>
      </c>
      <c r="D71" s="5" t="str">
        <f t="shared" si="2"/>
        <v>May</v>
      </c>
      <c r="E71" s="5" t="str">
        <f t="shared" si="3"/>
        <v>2025</v>
      </c>
      <c r="F71" s="5" t="str">
        <f t="shared" si="4"/>
        <v>Q2</v>
      </c>
      <c r="G71" s="5">
        <v>1576.5</v>
      </c>
      <c r="H71" s="5">
        <v>1585.0</v>
      </c>
      <c r="I71" s="5">
        <v>1555.7</v>
      </c>
      <c r="J71" s="5">
        <v>1589.9</v>
      </c>
      <c r="K71" s="5">
        <v>1557.9</v>
      </c>
      <c r="L71" s="5">
        <v>1559.8</v>
      </c>
      <c r="M71" s="5">
        <v>1565.44</v>
      </c>
      <c r="N71" s="5">
        <v>2006.45</v>
      </c>
      <c r="O71" s="5">
        <v>1307.0</v>
      </c>
      <c r="P71" s="5">
        <v>8855798.0</v>
      </c>
      <c r="Q71" s="5">
        <v>186064.0</v>
      </c>
    </row>
    <row r="72">
      <c r="A72" s="8">
        <v>45797.0</v>
      </c>
      <c r="B72" s="4" t="s">
        <v>17</v>
      </c>
      <c r="C72" s="5" t="str">
        <f t="shared" si="1"/>
        <v>Tuesday</v>
      </c>
      <c r="D72" s="5" t="str">
        <f t="shared" si="2"/>
        <v>May</v>
      </c>
      <c r="E72" s="5" t="str">
        <f t="shared" si="3"/>
        <v>2025</v>
      </c>
      <c r="F72" s="5" t="str">
        <f t="shared" si="4"/>
        <v>Q2</v>
      </c>
      <c r="G72" s="5">
        <v>1570.0</v>
      </c>
      <c r="H72" s="5">
        <v>1583.5</v>
      </c>
      <c r="I72" s="5">
        <v>1558.0</v>
      </c>
      <c r="J72" s="5">
        <v>1559.8</v>
      </c>
      <c r="K72" s="5">
        <v>1563.5</v>
      </c>
      <c r="L72" s="5">
        <v>1560.6</v>
      </c>
      <c r="M72" s="5">
        <v>1566.97</v>
      </c>
      <c r="N72" s="5">
        <v>2006.45</v>
      </c>
      <c r="O72" s="5">
        <v>1307.0</v>
      </c>
      <c r="P72" s="5">
        <v>7143998.0</v>
      </c>
      <c r="Q72" s="5">
        <v>160169.0</v>
      </c>
    </row>
    <row r="73">
      <c r="A73" s="8">
        <v>45798.0</v>
      </c>
      <c r="B73" s="4" t="s">
        <v>17</v>
      </c>
      <c r="C73" s="5" t="str">
        <f t="shared" si="1"/>
        <v>Wednesday</v>
      </c>
      <c r="D73" s="5" t="str">
        <f t="shared" si="2"/>
        <v>May</v>
      </c>
      <c r="E73" s="5" t="str">
        <f t="shared" si="3"/>
        <v>2025</v>
      </c>
      <c r="F73" s="5" t="str">
        <f t="shared" si="4"/>
        <v>Q2</v>
      </c>
      <c r="G73" s="5">
        <v>1567.9</v>
      </c>
      <c r="H73" s="5">
        <v>1571.0</v>
      </c>
      <c r="I73" s="5">
        <v>1552.1</v>
      </c>
      <c r="J73" s="5">
        <v>1560.6</v>
      </c>
      <c r="K73" s="5">
        <v>1566.9</v>
      </c>
      <c r="L73" s="5">
        <v>1568.5</v>
      </c>
      <c r="M73" s="5">
        <v>1566.02</v>
      </c>
      <c r="N73" s="5">
        <v>2006.45</v>
      </c>
      <c r="O73" s="5">
        <v>1307.0</v>
      </c>
      <c r="P73" s="5">
        <v>4157309.0</v>
      </c>
      <c r="Q73" s="5">
        <v>112304.0</v>
      </c>
    </row>
    <row r="74">
      <c r="A74" s="8">
        <v>45799.0</v>
      </c>
      <c r="B74" s="4" t="s">
        <v>17</v>
      </c>
      <c r="C74" s="5" t="str">
        <f t="shared" si="1"/>
        <v>Thursday</v>
      </c>
      <c r="D74" s="5" t="str">
        <f t="shared" si="2"/>
        <v>May</v>
      </c>
      <c r="E74" s="5" t="str">
        <f t="shared" si="3"/>
        <v>2025</v>
      </c>
      <c r="F74" s="5" t="str">
        <f t="shared" si="4"/>
        <v>Q2</v>
      </c>
      <c r="G74" s="5">
        <v>1555.5</v>
      </c>
      <c r="H74" s="5">
        <v>1560.8</v>
      </c>
      <c r="I74" s="5">
        <v>1540.0</v>
      </c>
      <c r="J74" s="5">
        <v>1568.5</v>
      </c>
      <c r="K74" s="5">
        <v>1551.0</v>
      </c>
      <c r="L74" s="5">
        <v>1547.5</v>
      </c>
      <c r="M74" s="5">
        <v>1548.79</v>
      </c>
      <c r="N74" s="5">
        <v>2006.45</v>
      </c>
      <c r="O74" s="5">
        <v>1307.0</v>
      </c>
      <c r="P74" s="5">
        <v>6158990.0</v>
      </c>
      <c r="Q74" s="5">
        <v>162974.0</v>
      </c>
    </row>
    <row r="75">
      <c r="A75" s="8">
        <v>45800.0</v>
      </c>
      <c r="B75" s="4" t="s">
        <v>17</v>
      </c>
      <c r="C75" s="5" t="str">
        <f t="shared" si="1"/>
        <v>Friday</v>
      </c>
      <c r="D75" s="5" t="str">
        <f t="shared" si="2"/>
        <v>May</v>
      </c>
      <c r="E75" s="5" t="str">
        <f t="shared" si="3"/>
        <v>2025</v>
      </c>
      <c r="F75" s="5" t="str">
        <f t="shared" si="4"/>
        <v>Q2</v>
      </c>
      <c r="G75" s="5">
        <v>1550.0</v>
      </c>
      <c r="H75" s="5">
        <v>1587.2</v>
      </c>
      <c r="I75" s="5">
        <v>1550.0</v>
      </c>
      <c r="J75" s="5">
        <v>1547.5</v>
      </c>
      <c r="K75" s="5">
        <v>1566.1</v>
      </c>
      <c r="L75" s="5">
        <v>1564.8</v>
      </c>
      <c r="M75" s="5">
        <v>1573.82</v>
      </c>
      <c r="N75" s="5">
        <v>2006.45</v>
      </c>
      <c r="O75" s="5">
        <v>1307.0</v>
      </c>
      <c r="P75" s="5">
        <v>5038421.0</v>
      </c>
      <c r="Q75" s="5">
        <v>119392.0</v>
      </c>
    </row>
    <row r="76">
      <c r="A76" s="8">
        <v>45803.0</v>
      </c>
      <c r="B76" s="4" t="s">
        <v>17</v>
      </c>
      <c r="C76" s="5" t="str">
        <f t="shared" si="1"/>
        <v>Monday</v>
      </c>
      <c r="D76" s="5" t="str">
        <f t="shared" si="2"/>
        <v>May</v>
      </c>
      <c r="E76" s="5" t="str">
        <f t="shared" si="3"/>
        <v>2025</v>
      </c>
      <c r="F76" s="5" t="str">
        <f t="shared" si="4"/>
        <v>Q2</v>
      </c>
      <c r="G76" s="5">
        <v>1566.6</v>
      </c>
      <c r="H76" s="5">
        <v>1583.8</v>
      </c>
      <c r="I76" s="5">
        <v>1562.7</v>
      </c>
      <c r="J76" s="5">
        <v>1564.8</v>
      </c>
      <c r="K76" s="5">
        <v>1582.0</v>
      </c>
      <c r="L76" s="5">
        <v>1580.5</v>
      </c>
      <c r="M76" s="5">
        <v>1577.54</v>
      </c>
      <c r="N76" s="5">
        <v>2006.45</v>
      </c>
      <c r="O76" s="5">
        <v>1307.0</v>
      </c>
      <c r="P76" s="5">
        <v>3170102.0</v>
      </c>
      <c r="Q76" s="5">
        <v>84853.0</v>
      </c>
    </row>
    <row r="77">
      <c r="A77" s="8">
        <v>45804.0</v>
      </c>
      <c r="B77" s="4" t="s">
        <v>17</v>
      </c>
      <c r="C77" s="5" t="str">
        <f t="shared" si="1"/>
        <v>Tuesday</v>
      </c>
      <c r="D77" s="5" t="str">
        <f t="shared" si="2"/>
        <v>May</v>
      </c>
      <c r="E77" s="5" t="str">
        <f t="shared" si="3"/>
        <v>2025</v>
      </c>
      <c r="F77" s="5" t="str">
        <f t="shared" si="4"/>
        <v>Q2</v>
      </c>
      <c r="G77" s="5">
        <v>1579.9</v>
      </c>
      <c r="H77" s="5">
        <v>1582.9</v>
      </c>
      <c r="I77" s="5">
        <v>1556.4</v>
      </c>
      <c r="J77" s="5">
        <v>1580.5</v>
      </c>
      <c r="K77" s="5">
        <v>1570.9</v>
      </c>
      <c r="L77" s="5">
        <v>1570.1</v>
      </c>
      <c r="M77" s="5">
        <v>1567.8</v>
      </c>
      <c r="N77" s="5">
        <v>2006.45</v>
      </c>
      <c r="O77" s="5">
        <v>1307.0</v>
      </c>
      <c r="P77" s="5">
        <v>7775714.0</v>
      </c>
      <c r="Q77" s="5">
        <v>206543.0</v>
      </c>
    </row>
    <row r="78">
      <c r="A78" s="8">
        <v>45805.0</v>
      </c>
      <c r="B78" s="4" t="s">
        <v>17</v>
      </c>
      <c r="C78" s="5" t="str">
        <f t="shared" si="1"/>
        <v>Wednesday</v>
      </c>
      <c r="D78" s="5" t="str">
        <f t="shared" si="2"/>
        <v>May</v>
      </c>
      <c r="E78" s="5" t="str">
        <f t="shared" si="3"/>
        <v>2025</v>
      </c>
      <c r="F78" s="5" t="str">
        <f t="shared" si="4"/>
        <v>Q2</v>
      </c>
      <c r="G78" s="5">
        <v>1581.0</v>
      </c>
      <c r="H78" s="5">
        <v>1587.7</v>
      </c>
      <c r="I78" s="5">
        <v>1570.0</v>
      </c>
      <c r="J78" s="5">
        <v>1570.1</v>
      </c>
      <c r="K78" s="5">
        <v>1571.8</v>
      </c>
      <c r="L78" s="5">
        <v>1571.8</v>
      </c>
      <c r="M78" s="5">
        <v>1576.59</v>
      </c>
      <c r="N78" s="5">
        <v>2006.45</v>
      </c>
      <c r="O78" s="5">
        <v>1307.0</v>
      </c>
      <c r="P78" s="5">
        <v>3623370.0</v>
      </c>
      <c r="Q78" s="5">
        <v>136660.0</v>
      </c>
    </row>
    <row r="79">
      <c r="A79" s="8">
        <v>45806.0</v>
      </c>
      <c r="B79" s="4" t="s">
        <v>17</v>
      </c>
      <c r="C79" s="5" t="str">
        <f t="shared" si="1"/>
        <v>Thursday</v>
      </c>
      <c r="D79" s="5" t="str">
        <f t="shared" si="2"/>
        <v>May</v>
      </c>
      <c r="E79" s="5" t="str">
        <f t="shared" si="3"/>
        <v>2025</v>
      </c>
      <c r="F79" s="5" t="str">
        <f t="shared" si="4"/>
        <v>Q2</v>
      </c>
      <c r="G79" s="5">
        <v>1589.0</v>
      </c>
      <c r="H79" s="5">
        <v>1608.9</v>
      </c>
      <c r="I79" s="5">
        <v>1576.6</v>
      </c>
      <c r="J79" s="5">
        <v>1571.8</v>
      </c>
      <c r="K79" s="5">
        <v>1586.5</v>
      </c>
      <c r="L79" s="5">
        <v>1585.6</v>
      </c>
      <c r="M79" s="5">
        <v>1588.46</v>
      </c>
      <c r="N79" s="5">
        <v>2006.45</v>
      </c>
      <c r="O79" s="5">
        <v>1307.0</v>
      </c>
      <c r="P79" s="5">
        <v>8609500.0</v>
      </c>
      <c r="Q79" s="5">
        <v>194291.0</v>
      </c>
    </row>
    <row r="80">
      <c r="A80" s="8">
        <v>45807.0</v>
      </c>
      <c r="B80" s="4" t="s">
        <v>17</v>
      </c>
      <c r="C80" s="5" t="str">
        <f t="shared" si="1"/>
        <v>Friday</v>
      </c>
      <c r="D80" s="5" t="str">
        <f t="shared" si="2"/>
        <v>May</v>
      </c>
      <c r="E80" s="5" t="str">
        <f t="shared" si="3"/>
        <v>2025</v>
      </c>
      <c r="F80" s="5" t="str">
        <f t="shared" si="4"/>
        <v>Q2</v>
      </c>
      <c r="G80" s="5">
        <v>1571.0</v>
      </c>
      <c r="H80" s="5">
        <v>1572.0</v>
      </c>
      <c r="I80" s="5">
        <v>1555.1</v>
      </c>
      <c r="J80" s="5">
        <v>1585.6</v>
      </c>
      <c r="K80" s="5">
        <v>1561.9</v>
      </c>
      <c r="L80" s="5">
        <v>1562.7</v>
      </c>
      <c r="M80" s="5">
        <v>1563.06</v>
      </c>
      <c r="N80" s="5">
        <v>2006.45</v>
      </c>
      <c r="O80" s="5">
        <v>1307.0</v>
      </c>
      <c r="P80" s="5">
        <v>1.3148092E7</v>
      </c>
      <c r="Q80" s="5">
        <v>167400.0</v>
      </c>
    </row>
    <row r="81">
      <c r="A81" s="3">
        <v>45810.0</v>
      </c>
      <c r="B81" s="4" t="s">
        <v>17</v>
      </c>
      <c r="C81" s="5" t="str">
        <f t="shared" si="1"/>
        <v>Monday</v>
      </c>
      <c r="D81" s="5" t="str">
        <f t="shared" si="2"/>
        <v>June</v>
      </c>
      <c r="E81" s="5" t="str">
        <f t="shared" si="3"/>
        <v>2025</v>
      </c>
      <c r="F81" s="5" t="str">
        <f t="shared" si="4"/>
        <v>Q2</v>
      </c>
      <c r="G81" s="5">
        <v>1560.0</v>
      </c>
      <c r="H81" s="5">
        <v>1560.0</v>
      </c>
      <c r="I81" s="5">
        <v>1539.0</v>
      </c>
      <c r="J81" s="5">
        <v>1562.7</v>
      </c>
      <c r="K81" s="5">
        <v>1551.0</v>
      </c>
      <c r="L81" s="5">
        <v>1553.8</v>
      </c>
      <c r="M81" s="5">
        <v>1550.25</v>
      </c>
      <c r="N81" s="5">
        <v>2006.45</v>
      </c>
      <c r="O81" s="5">
        <v>1307.0</v>
      </c>
      <c r="P81" s="5">
        <v>4374509.0</v>
      </c>
      <c r="Q81" s="5">
        <v>131906.0</v>
      </c>
    </row>
    <row r="82">
      <c r="A82" s="3">
        <v>45811.0</v>
      </c>
      <c r="B82" s="4" t="s">
        <v>17</v>
      </c>
      <c r="C82" s="5" t="str">
        <f t="shared" si="1"/>
        <v>Tuesday</v>
      </c>
      <c r="D82" s="5" t="str">
        <f t="shared" si="2"/>
        <v>June</v>
      </c>
      <c r="E82" s="5" t="str">
        <f t="shared" si="3"/>
        <v>2025</v>
      </c>
      <c r="F82" s="5" t="str">
        <f t="shared" si="4"/>
        <v>Q2</v>
      </c>
      <c r="G82" s="5">
        <v>1559.0</v>
      </c>
      <c r="H82" s="5">
        <v>1567.3</v>
      </c>
      <c r="I82" s="5">
        <v>1535.6</v>
      </c>
      <c r="J82" s="5">
        <v>1553.8</v>
      </c>
      <c r="K82" s="5">
        <v>1543.0</v>
      </c>
      <c r="L82" s="5">
        <v>1543.0</v>
      </c>
      <c r="M82" s="5">
        <v>1546.37</v>
      </c>
      <c r="N82" s="5">
        <v>2006.45</v>
      </c>
      <c r="O82" s="5">
        <v>1307.0</v>
      </c>
      <c r="P82" s="5">
        <v>6853403.0</v>
      </c>
      <c r="Q82" s="5">
        <v>195003.0</v>
      </c>
    </row>
    <row r="83">
      <c r="A83" s="3">
        <v>45812.0</v>
      </c>
      <c r="B83" s="4" t="s">
        <v>17</v>
      </c>
      <c r="C83" s="5" t="str">
        <f t="shared" si="1"/>
        <v>Wednesday</v>
      </c>
      <c r="D83" s="5" t="str">
        <f t="shared" si="2"/>
        <v>June</v>
      </c>
      <c r="E83" s="5" t="str">
        <f t="shared" si="3"/>
        <v>2025</v>
      </c>
      <c r="F83" s="5" t="str">
        <f t="shared" si="4"/>
        <v>Q2</v>
      </c>
      <c r="G83" s="5">
        <v>1543.0</v>
      </c>
      <c r="H83" s="5">
        <v>1557.3</v>
      </c>
      <c r="I83" s="5">
        <v>1541.4</v>
      </c>
      <c r="J83" s="5">
        <v>1543.0</v>
      </c>
      <c r="K83" s="5">
        <v>1550.0</v>
      </c>
      <c r="L83" s="5">
        <v>1551.2</v>
      </c>
      <c r="M83" s="5">
        <v>1550.49</v>
      </c>
      <c r="N83" s="5">
        <v>2006.45</v>
      </c>
      <c r="O83" s="5">
        <v>1307.0</v>
      </c>
      <c r="P83" s="5">
        <v>4548307.0</v>
      </c>
      <c r="Q83" s="5">
        <v>118648.0</v>
      </c>
    </row>
    <row r="84">
      <c r="A84" s="3">
        <v>45813.0</v>
      </c>
      <c r="B84" s="4" t="s">
        <v>17</v>
      </c>
      <c r="C84" s="5" t="str">
        <f t="shared" si="1"/>
        <v>Thursday</v>
      </c>
      <c r="D84" s="5" t="str">
        <f t="shared" si="2"/>
        <v>June</v>
      </c>
      <c r="E84" s="5" t="str">
        <f t="shared" si="3"/>
        <v>2025</v>
      </c>
      <c r="F84" s="5" t="str">
        <f t="shared" si="4"/>
        <v>Q2</v>
      </c>
      <c r="G84" s="5">
        <v>1547.9</v>
      </c>
      <c r="H84" s="5">
        <v>1567.7</v>
      </c>
      <c r="I84" s="5">
        <v>1541.6</v>
      </c>
      <c r="J84" s="5">
        <v>1551.2</v>
      </c>
      <c r="K84" s="5">
        <v>1554.5</v>
      </c>
      <c r="L84" s="5">
        <v>1554.3</v>
      </c>
      <c r="M84" s="5">
        <v>1554.78</v>
      </c>
      <c r="N84" s="5">
        <v>2006.45</v>
      </c>
      <c r="O84" s="5">
        <v>1307.0</v>
      </c>
      <c r="P84" s="5">
        <v>6948539.0</v>
      </c>
      <c r="Q84" s="5">
        <v>128309.0</v>
      </c>
    </row>
    <row r="85">
      <c r="A85" s="3">
        <v>45814.0</v>
      </c>
      <c r="B85" s="4" t="s">
        <v>17</v>
      </c>
      <c r="C85" s="5" t="str">
        <f t="shared" si="1"/>
        <v>Friday</v>
      </c>
      <c r="D85" s="5" t="str">
        <f t="shared" si="2"/>
        <v>June</v>
      </c>
      <c r="E85" s="5" t="str">
        <f t="shared" si="3"/>
        <v>2025</v>
      </c>
      <c r="F85" s="5" t="str">
        <f t="shared" si="4"/>
        <v>Q2</v>
      </c>
      <c r="G85" s="5">
        <v>1554.7</v>
      </c>
      <c r="H85" s="5">
        <v>1568.9</v>
      </c>
      <c r="I85" s="5">
        <v>1543.1</v>
      </c>
      <c r="J85" s="5">
        <v>1554.3</v>
      </c>
      <c r="K85" s="5">
        <v>1568.0</v>
      </c>
      <c r="L85" s="5">
        <v>1563.8</v>
      </c>
      <c r="M85" s="5">
        <v>1557.14</v>
      </c>
      <c r="N85" s="5">
        <v>2006.45</v>
      </c>
      <c r="O85" s="5">
        <v>1307.0</v>
      </c>
      <c r="P85" s="5">
        <v>3960020.0</v>
      </c>
      <c r="Q85" s="5">
        <v>90826.0</v>
      </c>
    </row>
    <row r="86">
      <c r="A86" s="3">
        <v>45817.0</v>
      </c>
      <c r="B86" s="4" t="s">
        <v>17</v>
      </c>
      <c r="C86" s="5" t="str">
        <f t="shared" si="1"/>
        <v>Monday</v>
      </c>
      <c r="D86" s="5" t="str">
        <f t="shared" si="2"/>
        <v>June</v>
      </c>
      <c r="E86" s="5" t="str">
        <f t="shared" si="3"/>
        <v>2025</v>
      </c>
      <c r="F86" s="5" t="str">
        <f t="shared" si="4"/>
        <v>Q2</v>
      </c>
      <c r="G86" s="5">
        <v>1578.0</v>
      </c>
      <c r="H86" s="5">
        <v>1588.0</v>
      </c>
      <c r="I86" s="5">
        <v>1571.0</v>
      </c>
      <c r="J86" s="5">
        <v>1563.8</v>
      </c>
      <c r="K86" s="5">
        <v>1572.0</v>
      </c>
      <c r="L86" s="5">
        <v>1572.9</v>
      </c>
      <c r="M86" s="5">
        <v>1577.22</v>
      </c>
      <c r="N86" s="5">
        <v>2006.45</v>
      </c>
      <c r="O86" s="5">
        <v>1307.0</v>
      </c>
      <c r="P86" s="5">
        <v>2903202.0</v>
      </c>
      <c r="Q86" s="5">
        <v>113233.0</v>
      </c>
    </row>
    <row r="87">
      <c r="A87" s="6">
        <v>45818.0</v>
      </c>
      <c r="B87" s="4" t="s">
        <v>17</v>
      </c>
      <c r="C87" s="5" t="str">
        <f t="shared" si="1"/>
        <v>Tuesday</v>
      </c>
      <c r="D87" s="5" t="str">
        <f t="shared" si="2"/>
        <v>June</v>
      </c>
      <c r="E87" s="5" t="str">
        <f t="shared" si="3"/>
        <v>2025</v>
      </c>
      <c r="F87" s="5" t="str">
        <f t="shared" si="4"/>
        <v>Q2</v>
      </c>
      <c r="G87" s="5">
        <v>1584.0</v>
      </c>
      <c r="H87" s="5">
        <v>1607.5</v>
      </c>
      <c r="I87" s="5">
        <v>1577.5</v>
      </c>
      <c r="J87" s="5">
        <v>1572.9</v>
      </c>
      <c r="K87" s="5">
        <v>1594.0</v>
      </c>
      <c r="L87" s="5">
        <v>1596.0</v>
      </c>
      <c r="M87" s="5">
        <v>1595.07</v>
      </c>
      <c r="N87" s="5">
        <v>2006.45</v>
      </c>
      <c r="O87" s="5">
        <v>1307.0</v>
      </c>
      <c r="P87" s="5">
        <v>8591925.0</v>
      </c>
      <c r="Q87" s="5">
        <v>222769.0</v>
      </c>
    </row>
    <row r="88">
      <c r="A88" s="6">
        <v>45819.0</v>
      </c>
      <c r="B88" s="4" t="s">
        <v>17</v>
      </c>
      <c r="C88" s="5" t="str">
        <f t="shared" si="1"/>
        <v>Wednesday</v>
      </c>
      <c r="D88" s="5" t="str">
        <f t="shared" si="2"/>
        <v>June</v>
      </c>
      <c r="E88" s="5" t="str">
        <f t="shared" si="3"/>
        <v>2025</v>
      </c>
      <c r="F88" s="5" t="str">
        <f t="shared" si="4"/>
        <v>Q2</v>
      </c>
      <c r="G88" s="5">
        <v>1590.1</v>
      </c>
      <c r="H88" s="5">
        <v>1634.6</v>
      </c>
      <c r="I88" s="5">
        <v>1590.1</v>
      </c>
      <c r="J88" s="5">
        <v>1596.0</v>
      </c>
      <c r="K88" s="5">
        <v>1628.0</v>
      </c>
      <c r="L88" s="5">
        <v>1631.1</v>
      </c>
      <c r="M88" s="5">
        <v>1617.71</v>
      </c>
      <c r="N88" s="5">
        <v>2006.45</v>
      </c>
      <c r="O88" s="5">
        <v>1307.0</v>
      </c>
      <c r="P88" s="5">
        <v>1.059741E7</v>
      </c>
      <c r="Q88" s="5">
        <v>219452.0</v>
      </c>
    </row>
    <row r="89">
      <c r="A89" s="6">
        <v>45820.0</v>
      </c>
      <c r="B89" s="4" t="s">
        <v>17</v>
      </c>
      <c r="C89" s="5" t="str">
        <f t="shared" si="1"/>
        <v>Thursday</v>
      </c>
      <c r="D89" s="5" t="str">
        <f t="shared" si="2"/>
        <v>June</v>
      </c>
      <c r="E89" s="5" t="str">
        <f t="shared" si="3"/>
        <v>2025</v>
      </c>
      <c r="F89" s="5" t="str">
        <f t="shared" si="4"/>
        <v>Q2</v>
      </c>
      <c r="G89" s="5">
        <v>1617.0</v>
      </c>
      <c r="H89" s="5">
        <v>1628.0</v>
      </c>
      <c r="I89" s="5">
        <v>1598.1</v>
      </c>
      <c r="J89" s="5">
        <v>1631.1</v>
      </c>
      <c r="K89" s="5">
        <v>1605.0</v>
      </c>
      <c r="L89" s="5">
        <v>1608.6</v>
      </c>
      <c r="M89" s="5">
        <v>1612.28</v>
      </c>
      <c r="N89" s="5">
        <v>2006.45</v>
      </c>
      <c r="O89" s="5">
        <v>1307.0</v>
      </c>
      <c r="P89" s="5">
        <v>1.0483574E7</v>
      </c>
      <c r="Q89" s="5">
        <v>316383.0</v>
      </c>
    </row>
    <row r="90">
      <c r="A90" s="6">
        <v>45821.0</v>
      </c>
      <c r="B90" s="4" t="s">
        <v>17</v>
      </c>
      <c r="C90" s="5" t="str">
        <f t="shared" si="1"/>
        <v>Friday</v>
      </c>
      <c r="D90" s="5" t="str">
        <f t="shared" si="2"/>
        <v>June</v>
      </c>
      <c r="E90" s="5" t="str">
        <f t="shared" si="3"/>
        <v>2025</v>
      </c>
      <c r="F90" s="5" t="str">
        <f t="shared" si="4"/>
        <v>Q2</v>
      </c>
      <c r="G90" s="5">
        <v>1576.0</v>
      </c>
      <c r="H90" s="5">
        <v>1609.0</v>
      </c>
      <c r="I90" s="5">
        <v>1570.2</v>
      </c>
      <c r="J90" s="5">
        <v>1608.6</v>
      </c>
      <c r="K90" s="5">
        <v>1605.0</v>
      </c>
      <c r="L90" s="5">
        <v>1602.0</v>
      </c>
      <c r="M90" s="5">
        <v>1598.18</v>
      </c>
      <c r="N90" s="5">
        <v>2006.45</v>
      </c>
      <c r="O90" s="5">
        <v>1307.0</v>
      </c>
      <c r="P90" s="5">
        <v>6968315.0</v>
      </c>
      <c r="Q90" s="5">
        <v>216576.0</v>
      </c>
    </row>
    <row r="91">
      <c r="A91" s="6">
        <v>45824.0</v>
      </c>
      <c r="B91" s="4" t="s">
        <v>17</v>
      </c>
      <c r="C91" s="5" t="str">
        <f t="shared" si="1"/>
        <v>Monday</v>
      </c>
      <c r="D91" s="5" t="str">
        <f t="shared" si="2"/>
        <v>June</v>
      </c>
      <c r="E91" s="5" t="str">
        <f t="shared" si="3"/>
        <v>2025</v>
      </c>
      <c r="F91" s="5" t="str">
        <f t="shared" si="4"/>
        <v>Q2</v>
      </c>
      <c r="G91" s="5">
        <v>1600.0</v>
      </c>
      <c r="H91" s="5">
        <v>1634.8</v>
      </c>
      <c r="I91" s="5">
        <v>1597.1</v>
      </c>
      <c r="J91" s="5">
        <v>1602.0</v>
      </c>
      <c r="K91" s="5">
        <v>1622.1</v>
      </c>
      <c r="L91" s="5">
        <v>1623.8</v>
      </c>
      <c r="M91" s="5">
        <v>1621.63</v>
      </c>
      <c r="N91" s="5">
        <v>2006.45</v>
      </c>
      <c r="O91" s="5">
        <v>1307.0</v>
      </c>
      <c r="P91" s="5">
        <v>5591842.0</v>
      </c>
      <c r="Q91" s="5">
        <v>138140.0</v>
      </c>
    </row>
    <row r="92">
      <c r="A92" s="6">
        <v>45825.0</v>
      </c>
      <c r="B92" s="4" t="s">
        <v>17</v>
      </c>
      <c r="C92" s="5" t="str">
        <f t="shared" si="1"/>
        <v>Tuesday</v>
      </c>
      <c r="D92" s="5" t="str">
        <f t="shared" si="2"/>
        <v>June</v>
      </c>
      <c r="E92" s="5" t="str">
        <f t="shared" si="3"/>
        <v>2025</v>
      </c>
      <c r="F92" s="5" t="str">
        <f t="shared" si="4"/>
        <v>Q2</v>
      </c>
      <c r="G92" s="5">
        <v>1620.7</v>
      </c>
      <c r="H92" s="5">
        <v>1647.4</v>
      </c>
      <c r="I92" s="5">
        <v>1615.6</v>
      </c>
      <c r="J92" s="5">
        <v>1623.8</v>
      </c>
      <c r="K92" s="5">
        <v>1638.0</v>
      </c>
      <c r="L92" s="5">
        <v>1639.9</v>
      </c>
      <c r="M92" s="5">
        <v>1637.98</v>
      </c>
      <c r="N92" s="5">
        <v>2006.45</v>
      </c>
      <c r="O92" s="5">
        <v>1307.0</v>
      </c>
      <c r="P92" s="5">
        <v>7622083.0</v>
      </c>
      <c r="Q92" s="5">
        <v>212796.0</v>
      </c>
    </row>
    <row r="93">
      <c r="A93" s="6">
        <v>45826.0</v>
      </c>
      <c r="B93" s="4" t="s">
        <v>17</v>
      </c>
      <c r="C93" s="5" t="str">
        <f t="shared" si="1"/>
        <v>Wednesday</v>
      </c>
      <c r="D93" s="5" t="str">
        <f t="shared" si="2"/>
        <v>June</v>
      </c>
      <c r="E93" s="5" t="str">
        <f t="shared" si="3"/>
        <v>2025</v>
      </c>
      <c r="F93" s="5" t="str">
        <f t="shared" si="4"/>
        <v>Q2</v>
      </c>
      <c r="G93" s="5">
        <v>1621.0</v>
      </c>
      <c r="H93" s="5">
        <v>1644.7</v>
      </c>
      <c r="I93" s="5">
        <v>1621.0</v>
      </c>
      <c r="J93" s="5">
        <v>1639.9</v>
      </c>
      <c r="K93" s="5">
        <v>1632.0</v>
      </c>
      <c r="L93" s="5">
        <v>1632.9</v>
      </c>
      <c r="M93" s="5">
        <v>1631.66</v>
      </c>
      <c r="N93" s="5">
        <v>2006.45</v>
      </c>
      <c r="O93" s="5">
        <v>1307.0</v>
      </c>
      <c r="P93" s="5">
        <v>5629707.0</v>
      </c>
      <c r="Q93" s="5">
        <v>140846.0</v>
      </c>
    </row>
    <row r="94">
      <c r="A94" s="6">
        <v>45827.0</v>
      </c>
      <c r="B94" s="4" t="s">
        <v>17</v>
      </c>
      <c r="C94" s="5" t="str">
        <f t="shared" si="1"/>
        <v>Thursday</v>
      </c>
      <c r="D94" s="5" t="str">
        <f t="shared" si="2"/>
        <v>June</v>
      </c>
      <c r="E94" s="5" t="str">
        <f t="shared" si="3"/>
        <v>2025</v>
      </c>
      <c r="F94" s="5" t="str">
        <f t="shared" si="4"/>
        <v>Q2</v>
      </c>
      <c r="G94" s="5">
        <v>1623.9</v>
      </c>
      <c r="H94" s="5">
        <v>1630.0</v>
      </c>
      <c r="I94" s="5">
        <v>1611.5</v>
      </c>
      <c r="J94" s="5">
        <v>1632.9</v>
      </c>
      <c r="K94" s="5">
        <v>1616.9</v>
      </c>
      <c r="L94" s="5">
        <v>1618.4</v>
      </c>
      <c r="M94" s="5">
        <v>1618.85</v>
      </c>
      <c r="N94" s="5">
        <v>2006.45</v>
      </c>
      <c r="O94" s="5">
        <v>1307.0</v>
      </c>
      <c r="P94" s="5">
        <v>5147760.0</v>
      </c>
      <c r="Q94" s="5">
        <v>162048.0</v>
      </c>
    </row>
    <row r="95">
      <c r="A95" s="6">
        <v>45828.0</v>
      </c>
      <c r="B95" s="4" t="s">
        <v>17</v>
      </c>
      <c r="C95" s="5" t="str">
        <f t="shared" si="1"/>
        <v>Friday</v>
      </c>
      <c r="D95" s="5" t="str">
        <f t="shared" si="2"/>
        <v>June</v>
      </c>
      <c r="E95" s="5" t="str">
        <f t="shared" si="3"/>
        <v>2025</v>
      </c>
      <c r="F95" s="5" t="str">
        <f t="shared" si="4"/>
        <v>Q2</v>
      </c>
      <c r="G95" s="5">
        <v>1619.0</v>
      </c>
      <c r="H95" s="5">
        <v>1630.7</v>
      </c>
      <c r="I95" s="5">
        <v>1608.9</v>
      </c>
      <c r="J95" s="5">
        <v>1618.4</v>
      </c>
      <c r="K95" s="5">
        <v>1618.0</v>
      </c>
      <c r="L95" s="5">
        <v>1622.9</v>
      </c>
      <c r="M95" s="5">
        <v>1621.3</v>
      </c>
      <c r="N95" s="5">
        <v>2006.45</v>
      </c>
      <c r="O95" s="5">
        <v>1307.0</v>
      </c>
      <c r="P95" s="5">
        <v>9202821.0</v>
      </c>
      <c r="Q95" s="5">
        <v>135603.0</v>
      </c>
    </row>
    <row r="96">
      <c r="A96" s="6">
        <v>45831.0</v>
      </c>
      <c r="B96" s="4" t="s">
        <v>17</v>
      </c>
      <c r="C96" s="5" t="str">
        <f t="shared" si="1"/>
        <v>Monday</v>
      </c>
      <c r="D96" s="5" t="str">
        <f t="shared" si="2"/>
        <v>June</v>
      </c>
      <c r="E96" s="5" t="str">
        <f t="shared" si="3"/>
        <v>2025</v>
      </c>
      <c r="F96" s="5" t="str">
        <f t="shared" si="4"/>
        <v>Q2</v>
      </c>
      <c r="G96" s="5">
        <v>1601.0</v>
      </c>
      <c r="H96" s="5">
        <v>1601.0</v>
      </c>
      <c r="I96" s="5">
        <v>1575.4</v>
      </c>
      <c r="J96" s="5">
        <v>1622.9</v>
      </c>
      <c r="K96" s="5">
        <v>1584.7</v>
      </c>
      <c r="L96" s="5">
        <v>1584.0</v>
      </c>
      <c r="M96" s="5">
        <v>1585.78</v>
      </c>
      <c r="N96" s="5">
        <v>2006.45</v>
      </c>
      <c r="O96" s="5">
        <v>1307.0</v>
      </c>
      <c r="P96" s="5">
        <v>7943676.0</v>
      </c>
      <c r="Q96" s="5">
        <v>206475.0</v>
      </c>
    </row>
    <row r="97">
      <c r="A97" s="6">
        <v>45832.0</v>
      </c>
      <c r="B97" s="4" t="s">
        <v>17</v>
      </c>
      <c r="C97" s="5" t="str">
        <f t="shared" si="1"/>
        <v>Tuesday</v>
      </c>
      <c r="D97" s="5" t="str">
        <f t="shared" si="2"/>
        <v>June</v>
      </c>
      <c r="E97" s="5" t="str">
        <f t="shared" si="3"/>
        <v>2025</v>
      </c>
      <c r="F97" s="5" t="str">
        <f t="shared" si="4"/>
        <v>Q2</v>
      </c>
      <c r="G97" s="5">
        <v>1601.0</v>
      </c>
      <c r="H97" s="5">
        <v>1609.0</v>
      </c>
      <c r="I97" s="5">
        <v>1576.6</v>
      </c>
      <c r="J97" s="5">
        <v>1584.0</v>
      </c>
      <c r="K97" s="5">
        <v>1579.6</v>
      </c>
      <c r="L97" s="5">
        <v>1581.6</v>
      </c>
      <c r="M97" s="5">
        <v>1590.26</v>
      </c>
      <c r="N97" s="5">
        <v>2006.45</v>
      </c>
      <c r="O97" s="5">
        <v>1307.0</v>
      </c>
      <c r="P97" s="5">
        <v>8083992.0</v>
      </c>
      <c r="Q97" s="5">
        <v>157878.0</v>
      </c>
    </row>
    <row r="98">
      <c r="A98" s="6">
        <v>45833.0</v>
      </c>
      <c r="B98" s="4" t="s">
        <v>17</v>
      </c>
      <c r="C98" s="5" t="str">
        <f t="shared" si="1"/>
        <v>Wednesday</v>
      </c>
      <c r="D98" s="5" t="str">
        <f t="shared" si="2"/>
        <v>June</v>
      </c>
      <c r="E98" s="5" t="str">
        <f t="shared" si="3"/>
        <v>2025</v>
      </c>
      <c r="F98" s="5" t="str">
        <f t="shared" si="4"/>
        <v>Q2</v>
      </c>
      <c r="G98" s="5">
        <v>1590.0</v>
      </c>
      <c r="H98" s="5">
        <v>1619.9</v>
      </c>
      <c r="I98" s="5">
        <v>1585.1</v>
      </c>
      <c r="J98" s="5">
        <v>1581.6</v>
      </c>
      <c r="K98" s="5">
        <v>1612.5</v>
      </c>
      <c r="L98" s="5">
        <v>1614.9</v>
      </c>
      <c r="M98" s="5">
        <v>1608.74</v>
      </c>
      <c r="N98" s="5">
        <v>2006.45</v>
      </c>
      <c r="O98" s="5">
        <v>1307.0</v>
      </c>
      <c r="P98" s="5">
        <v>7813533.0</v>
      </c>
      <c r="Q98" s="5">
        <v>187869.0</v>
      </c>
    </row>
    <row r="99">
      <c r="A99" s="6">
        <v>45834.0</v>
      </c>
      <c r="B99" s="4" t="s">
        <v>17</v>
      </c>
      <c r="C99" s="5" t="str">
        <f t="shared" si="1"/>
        <v>Thursday</v>
      </c>
      <c r="D99" s="5" t="str">
        <f t="shared" si="2"/>
        <v>June</v>
      </c>
      <c r="E99" s="5" t="str">
        <f t="shared" si="3"/>
        <v>2025</v>
      </c>
      <c r="F99" s="5" t="str">
        <f t="shared" si="4"/>
        <v>Q2</v>
      </c>
      <c r="G99" s="5">
        <v>1608.8</v>
      </c>
      <c r="H99" s="5">
        <v>1624.0</v>
      </c>
      <c r="I99" s="5">
        <v>1606.6</v>
      </c>
      <c r="J99" s="5">
        <v>1614.9</v>
      </c>
      <c r="K99" s="5">
        <v>1614.2</v>
      </c>
      <c r="L99" s="5">
        <v>1616.0</v>
      </c>
      <c r="M99" s="5">
        <v>1615.17</v>
      </c>
      <c r="N99" s="5">
        <v>2006.45</v>
      </c>
      <c r="O99" s="5">
        <v>1307.0</v>
      </c>
      <c r="P99" s="5">
        <v>6519233.0</v>
      </c>
      <c r="Q99" s="5">
        <v>143707.0</v>
      </c>
    </row>
    <row r="100">
      <c r="A100" s="6">
        <v>45835.0</v>
      </c>
      <c r="B100" s="4" t="s">
        <v>17</v>
      </c>
      <c r="C100" s="5" t="str">
        <f t="shared" si="1"/>
        <v>Friday</v>
      </c>
      <c r="D100" s="5" t="str">
        <f t="shared" si="2"/>
        <v>June</v>
      </c>
      <c r="E100" s="5" t="str">
        <f t="shared" si="3"/>
        <v>2025</v>
      </c>
      <c r="F100" s="5" t="str">
        <f t="shared" si="4"/>
        <v>Q2</v>
      </c>
      <c r="G100" s="5">
        <v>1619.0</v>
      </c>
      <c r="H100" s="5">
        <v>1629.6</v>
      </c>
      <c r="I100" s="5">
        <v>1602.4</v>
      </c>
      <c r="J100" s="5">
        <v>1616.0</v>
      </c>
      <c r="K100" s="5">
        <v>1611.0</v>
      </c>
      <c r="L100" s="5">
        <v>1608.0</v>
      </c>
      <c r="M100" s="5">
        <v>1611.01</v>
      </c>
      <c r="N100" s="5">
        <v>2006.45</v>
      </c>
      <c r="O100" s="5">
        <v>1307.0</v>
      </c>
      <c r="P100" s="5">
        <v>8912268.0</v>
      </c>
      <c r="Q100" s="5">
        <v>176021.0</v>
      </c>
    </row>
    <row r="101">
      <c r="A101" s="6">
        <v>45838.0</v>
      </c>
      <c r="B101" s="4" t="s">
        <v>17</v>
      </c>
      <c r="C101" s="5" t="str">
        <f t="shared" si="1"/>
        <v>Monday</v>
      </c>
      <c r="D101" s="5" t="str">
        <f t="shared" si="2"/>
        <v>June</v>
      </c>
      <c r="E101" s="5" t="str">
        <f t="shared" si="3"/>
        <v>2025</v>
      </c>
      <c r="F101" s="5" t="str">
        <f t="shared" si="4"/>
        <v>Q2</v>
      </c>
      <c r="G101" s="5">
        <v>1615.0</v>
      </c>
      <c r="H101" s="5">
        <v>1615.0</v>
      </c>
      <c r="I101" s="5">
        <v>1594.1</v>
      </c>
      <c r="J101" s="5">
        <v>1608.0</v>
      </c>
      <c r="K101" s="5">
        <v>1603.4</v>
      </c>
      <c r="L101" s="5">
        <v>1601.8</v>
      </c>
      <c r="M101" s="5">
        <v>1603.36</v>
      </c>
      <c r="N101" s="5">
        <v>2006.45</v>
      </c>
      <c r="O101" s="5">
        <v>1307.0</v>
      </c>
      <c r="P101" s="5">
        <v>6294505.0</v>
      </c>
      <c r="Q101" s="5">
        <v>183538.0</v>
      </c>
    </row>
    <row r="102">
      <c r="A102" s="3">
        <v>45839.0</v>
      </c>
      <c r="B102" s="4" t="s">
        <v>17</v>
      </c>
      <c r="C102" s="5" t="str">
        <f t="shared" si="1"/>
        <v>Tuesday</v>
      </c>
      <c r="D102" s="5" t="str">
        <f t="shared" si="2"/>
        <v>July</v>
      </c>
      <c r="E102" s="5" t="str">
        <f t="shared" si="3"/>
        <v>2025</v>
      </c>
      <c r="F102" s="5" t="str">
        <f t="shared" si="4"/>
        <v>Q3</v>
      </c>
      <c r="G102" s="5">
        <v>1609.0</v>
      </c>
      <c r="H102" s="5">
        <v>1617.7</v>
      </c>
      <c r="I102" s="5">
        <v>1600.5</v>
      </c>
      <c r="J102" s="5">
        <v>1601.8</v>
      </c>
      <c r="K102" s="5">
        <v>1603.0</v>
      </c>
      <c r="L102" s="5">
        <v>1606.8</v>
      </c>
      <c r="M102" s="5">
        <v>1607.18</v>
      </c>
      <c r="N102" s="5">
        <v>2006.45</v>
      </c>
      <c r="O102" s="5">
        <v>1307.0</v>
      </c>
      <c r="P102" s="5">
        <v>4178937.0</v>
      </c>
      <c r="Q102" s="5">
        <v>151406.0</v>
      </c>
    </row>
    <row r="103">
      <c r="A103" s="3">
        <v>45840.0</v>
      </c>
      <c r="B103" s="4" t="s">
        <v>17</v>
      </c>
      <c r="C103" s="5" t="str">
        <f t="shared" si="1"/>
        <v>Wednesday</v>
      </c>
      <c r="D103" s="5" t="str">
        <f t="shared" si="2"/>
        <v>July</v>
      </c>
      <c r="E103" s="5" t="str">
        <f t="shared" si="3"/>
        <v>2025</v>
      </c>
      <c r="F103" s="5" t="str">
        <f t="shared" si="4"/>
        <v>Q3</v>
      </c>
      <c r="G103" s="5">
        <v>1618.0</v>
      </c>
      <c r="H103" s="5">
        <v>1649.0</v>
      </c>
      <c r="I103" s="5">
        <v>1603.4</v>
      </c>
      <c r="J103" s="5">
        <v>1606.8</v>
      </c>
      <c r="K103" s="5">
        <v>1609.6</v>
      </c>
      <c r="L103" s="5">
        <v>1610.5</v>
      </c>
      <c r="M103" s="5">
        <v>1622.6</v>
      </c>
      <c r="N103" s="5">
        <v>2006.45</v>
      </c>
      <c r="O103" s="5">
        <v>1307.0</v>
      </c>
      <c r="P103" s="5">
        <v>8653641.0</v>
      </c>
      <c r="Q103" s="5">
        <v>174866.0</v>
      </c>
    </row>
    <row r="104">
      <c r="A104" s="3">
        <v>45841.0</v>
      </c>
      <c r="B104" s="4" t="s">
        <v>17</v>
      </c>
      <c r="C104" s="5" t="str">
        <f t="shared" si="1"/>
        <v>Thursday</v>
      </c>
      <c r="D104" s="5" t="str">
        <f t="shared" si="2"/>
        <v>July</v>
      </c>
      <c r="E104" s="5" t="str">
        <f t="shared" si="3"/>
        <v>2025</v>
      </c>
      <c r="F104" s="5" t="str">
        <f t="shared" si="4"/>
        <v>Q3</v>
      </c>
      <c r="G104" s="5">
        <v>1618.5</v>
      </c>
      <c r="H104" s="5">
        <v>1632.4</v>
      </c>
      <c r="I104" s="5">
        <v>1615.0</v>
      </c>
      <c r="J104" s="5">
        <v>1610.5</v>
      </c>
      <c r="K104" s="5">
        <v>1616.9</v>
      </c>
      <c r="L104" s="5">
        <v>1618.7</v>
      </c>
      <c r="M104" s="5">
        <v>1622.33</v>
      </c>
      <c r="N104" s="5">
        <v>2006.45</v>
      </c>
      <c r="O104" s="5">
        <v>1307.0</v>
      </c>
      <c r="P104" s="5">
        <v>5259695.0</v>
      </c>
      <c r="Q104" s="5">
        <v>157372.0</v>
      </c>
    </row>
    <row r="105">
      <c r="A105" s="3">
        <v>45842.0</v>
      </c>
      <c r="B105" s="4" t="s">
        <v>17</v>
      </c>
      <c r="C105" s="5" t="str">
        <f t="shared" si="1"/>
        <v>Friday</v>
      </c>
      <c r="D105" s="5" t="str">
        <f t="shared" si="2"/>
        <v>July</v>
      </c>
      <c r="E105" s="5" t="str">
        <f t="shared" si="3"/>
        <v>2025</v>
      </c>
      <c r="F105" s="5" t="str">
        <f t="shared" si="4"/>
        <v>Q3</v>
      </c>
      <c r="G105" s="5">
        <v>1625.0</v>
      </c>
      <c r="H105" s="5">
        <v>1643.4</v>
      </c>
      <c r="I105" s="5">
        <v>1612.3</v>
      </c>
      <c r="J105" s="5">
        <v>1618.7</v>
      </c>
      <c r="K105" s="5">
        <v>1639.7</v>
      </c>
      <c r="L105" s="5">
        <v>1640.7</v>
      </c>
      <c r="M105" s="5">
        <v>1631.46</v>
      </c>
      <c r="N105" s="5">
        <v>2006.45</v>
      </c>
      <c r="O105" s="5">
        <v>1307.0</v>
      </c>
      <c r="P105" s="5">
        <v>4411273.0</v>
      </c>
      <c r="Q105" s="5">
        <v>113037.0</v>
      </c>
    </row>
    <row r="106">
      <c r="A106" s="3">
        <v>45845.0</v>
      </c>
      <c r="B106" s="4" t="s">
        <v>17</v>
      </c>
      <c r="C106" s="5" t="str">
        <f t="shared" si="1"/>
        <v>Monday</v>
      </c>
      <c r="D106" s="5" t="str">
        <f t="shared" si="2"/>
        <v>July</v>
      </c>
      <c r="E106" s="5" t="str">
        <f t="shared" si="3"/>
        <v>2025</v>
      </c>
      <c r="F106" s="5" t="str">
        <f t="shared" si="4"/>
        <v>Q3</v>
      </c>
      <c r="G106" s="5">
        <v>1640.0</v>
      </c>
      <c r="H106" s="5">
        <v>1644.0</v>
      </c>
      <c r="I106" s="5">
        <v>1623.0</v>
      </c>
      <c r="J106" s="5">
        <v>1640.7</v>
      </c>
      <c r="K106" s="5">
        <v>1626.9</v>
      </c>
      <c r="L106" s="5">
        <v>1627.0</v>
      </c>
      <c r="M106" s="5">
        <v>1630.54</v>
      </c>
      <c r="N106" s="5">
        <v>2006.45</v>
      </c>
      <c r="O106" s="5">
        <v>1307.0</v>
      </c>
      <c r="P106" s="5">
        <v>3294523.0</v>
      </c>
      <c r="Q106" s="5">
        <v>127270.0</v>
      </c>
    </row>
    <row r="107">
      <c r="A107" s="3">
        <v>45846.0</v>
      </c>
      <c r="B107" s="4" t="s">
        <v>17</v>
      </c>
      <c r="C107" s="5" t="str">
        <f t="shared" si="1"/>
        <v>Tuesday</v>
      </c>
      <c r="D107" s="5" t="str">
        <f t="shared" si="2"/>
        <v>July</v>
      </c>
      <c r="E107" s="5" t="str">
        <f t="shared" si="3"/>
        <v>2025</v>
      </c>
      <c r="F107" s="5" t="str">
        <f t="shared" si="4"/>
        <v>Q3</v>
      </c>
      <c r="G107" s="5">
        <v>1628.0</v>
      </c>
      <c r="H107" s="5">
        <v>1646.2</v>
      </c>
      <c r="I107" s="5">
        <v>1621.5</v>
      </c>
      <c r="J107" s="5">
        <v>1627.0</v>
      </c>
      <c r="K107" s="5">
        <v>1638.5</v>
      </c>
      <c r="L107" s="5">
        <v>1638.7</v>
      </c>
      <c r="M107" s="5">
        <v>1635.98</v>
      </c>
      <c r="N107" s="5">
        <v>2006.45</v>
      </c>
      <c r="O107" s="5">
        <v>1307.0</v>
      </c>
      <c r="P107" s="5">
        <v>4590681.0</v>
      </c>
      <c r="Q107" s="5">
        <v>131513.0</v>
      </c>
    </row>
    <row r="108">
      <c r="A108" s="3">
        <v>45847.0</v>
      </c>
      <c r="B108" s="4" t="s">
        <v>17</v>
      </c>
      <c r="C108" s="5" t="str">
        <f t="shared" si="1"/>
        <v>Wednesday</v>
      </c>
      <c r="D108" s="5" t="str">
        <f t="shared" si="2"/>
        <v>July</v>
      </c>
      <c r="E108" s="5" t="str">
        <f t="shared" si="3"/>
        <v>2025</v>
      </c>
      <c r="F108" s="5" t="str">
        <f t="shared" si="4"/>
        <v>Q3</v>
      </c>
      <c r="G108" s="5">
        <v>1637.8</v>
      </c>
      <c r="H108" s="5">
        <v>1638.0</v>
      </c>
      <c r="I108" s="5">
        <v>1623.6</v>
      </c>
      <c r="J108" s="5">
        <v>1638.7</v>
      </c>
      <c r="K108" s="5">
        <v>1632.7</v>
      </c>
      <c r="L108" s="5">
        <v>1633.7</v>
      </c>
      <c r="M108" s="5">
        <v>1630.89</v>
      </c>
      <c r="N108" s="5">
        <v>2006.45</v>
      </c>
      <c r="O108" s="5">
        <v>1307.0</v>
      </c>
      <c r="P108" s="5">
        <v>4580828.0</v>
      </c>
      <c r="Q108" s="5">
        <v>171713.0</v>
      </c>
    </row>
    <row r="109">
      <c r="A109" s="6">
        <v>45848.0</v>
      </c>
      <c r="B109" s="4" t="s">
        <v>17</v>
      </c>
      <c r="C109" s="5" t="str">
        <f t="shared" si="1"/>
        <v>Thursday</v>
      </c>
      <c r="D109" s="5" t="str">
        <f t="shared" si="2"/>
        <v>July</v>
      </c>
      <c r="E109" s="5" t="str">
        <f t="shared" si="3"/>
        <v>2025</v>
      </c>
      <c r="F109" s="5" t="str">
        <f t="shared" si="4"/>
        <v>Q3</v>
      </c>
      <c r="G109" s="5">
        <v>1638.9</v>
      </c>
      <c r="H109" s="5">
        <v>1638.9</v>
      </c>
      <c r="I109" s="5">
        <v>1607.1</v>
      </c>
      <c r="J109" s="5">
        <v>1633.7</v>
      </c>
      <c r="K109" s="5">
        <v>1618.8</v>
      </c>
      <c r="L109" s="5">
        <v>1615.8</v>
      </c>
      <c r="M109" s="5">
        <v>1617.52</v>
      </c>
      <c r="N109" s="5">
        <v>2006.45</v>
      </c>
      <c r="O109" s="5">
        <v>1307.0</v>
      </c>
      <c r="P109" s="5">
        <v>5330179.0</v>
      </c>
      <c r="Q109" s="5">
        <v>147697.0</v>
      </c>
    </row>
    <row r="110">
      <c r="A110" s="6">
        <v>45849.0</v>
      </c>
      <c r="B110" s="4" t="s">
        <v>17</v>
      </c>
      <c r="C110" s="5" t="str">
        <f t="shared" si="1"/>
        <v>Friday</v>
      </c>
      <c r="D110" s="5" t="str">
        <f t="shared" si="2"/>
        <v>July</v>
      </c>
      <c r="E110" s="5" t="str">
        <f t="shared" si="3"/>
        <v>2025</v>
      </c>
      <c r="F110" s="5" t="str">
        <f t="shared" si="4"/>
        <v>Q3</v>
      </c>
      <c r="G110" s="5">
        <v>1579.1</v>
      </c>
      <c r="H110" s="5">
        <v>1607.1</v>
      </c>
      <c r="I110" s="5">
        <v>1563.0</v>
      </c>
      <c r="J110" s="5">
        <v>1615.8</v>
      </c>
      <c r="K110" s="5">
        <v>1594.5</v>
      </c>
      <c r="L110" s="5">
        <v>1594.9</v>
      </c>
      <c r="M110" s="5">
        <v>1590.33</v>
      </c>
      <c r="N110" s="5">
        <v>2006.45</v>
      </c>
      <c r="O110" s="5">
        <v>1307.0</v>
      </c>
      <c r="P110" s="5">
        <v>1.1391755E7</v>
      </c>
      <c r="Q110" s="5">
        <v>424033.0</v>
      </c>
    </row>
    <row r="111">
      <c r="A111" s="6">
        <v>45852.0</v>
      </c>
      <c r="B111" s="4" t="s">
        <v>17</v>
      </c>
      <c r="C111" s="5" t="str">
        <f t="shared" si="1"/>
        <v>Monday</v>
      </c>
      <c r="D111" s="5" t="str">
        <f t="shared" si="2"/>
        <v>July</v>
      </c>
      <c r="E111" s="5" t="str">
        <f t="shared" si="3"/>
        <v>2025</v>
      </c>
      <c r="F111" s="5" t="str">
        <f t="shared" si="4"/>
        <v>Q3</v>
      </c>
      <c r="G111" s="5">
        <v>1591.8</v>
      </c>
      <c r="H111" s="5">
        <v>1591.8</v>
      </c>
      <c r="I111" s="5">
        <v>1559.8</v>
      </c>
      <c r="J111" s="5">
        <v>1594.9</v>
      </c>
      <c r="K111" s="5">
        <v>1570.5</v>
      </c>
      <c r="L111" s="5">
        <v>1570.3</v>
      </c>
      <c r="M111" s="5">
        <v>1569.39</v>
      </c>
      <c r="N111" s="5">
        <v>2006.45</v>
      </c>
      <c r="O111" s="5">
        <v>1307.0</v>
      </c>
      <c r="P111" s="5">
        <v>9173426.0</v>
      </c>
      <c r="Q111" s="5">
        <v>334884.0</v>
      </c>
    </row>
    <row r="112">
      <c r="A112" s="6">
        <v>45853.0</v>
      </c>
      <c r="B112" s="4" t="s">
        <v>17</v>
      </c>
      <c r="C112" s="5" t="str">
        <f t="shared" si="1"/>
        <v>Tuesday</v>
      </c>
      <c r="D112" s="5" t="str">
        <f t="shared" si="2"/>
        <v>July</v>
      </c>
      <c r="E112" s="5" t="str">
        <f t="shared" si="3"/>
        <v>2025</v>
      </c>
      <c r="F112" s="5" t="str">
        <f t="shared" si="4"/>
        <v>Q3</v>
      </c>
      <c r="G112" s="5">
        <v>1565.1</v>
      </c>
      <c r="H112" s="5">
        <v>1603.6</v>
      </c>
      <c r="I112" s="5">
        <v>1564.0</v>
      </c>
      <c r="J112" s="5">
        <v>1570.3</v>
      </c>
      <c r="K112" s="5">
        <v>1587.2</v>
      </c>
      <c r="L112" s="5">
        <v>1585.6</v>
      </c>
      <c r="M112" s="5">
        <v>1586.28</v>
      </c>
      <c r="N112" s="5">
        <v>2006.45</v>
      </c>
      <c r="O112" s="5">
        <v>1307.0</v>
      </c>
      <c r="P112" s="5">
        <v>7614807.0</v>
      </c>
      <c r="Q112" s="5">
        <v>208916.0</v>
      </c>
    </row>
    <row r="113">
      <c r="A113" s="6">
        <v>45854.0</v>
      </c>
      <c r="B113" s="4" t="s">
        <v>17</v>
      </c>
      <c r="C113" s="5" t="str">
        <f t="shared" si="1"/>
        <v>Wednesday</v>
      </c>
      <c r="D113" s="5" t="str">
        <f t="shared" si="2"/>
        <v>July</v>
      </c>
      <c r="E113" s="5" t="str">
        <f t="shared" si="3"/>
        <v>2025</v>
      </c>
      <c r="F113" s="5" t="str">
        <f t="shared" si="4"/>
        <v>Q3</v>
      </c>
      <c r="G113" s="5">
        <v>1579.0</v>
      </c>
      <c r="H113" s="5">
        <v>1612.0</v>
      </c>
      <c r="I113" s="5">
        <v>1578.5</v>
      </c>
      <c r="J113" s="5">
        <v>1585.6</v>
      </c>
      <c r="K113" s="5">
        <v>1609.0</v>
      </c>
      <c r="L113" s="5">
        <v>1607.9</v>
      </c>
      <c r="M113" s="5">
        <v>1601.98</v>
      </c>
      <c r="N113" s="5">
        <v>2006.45</v>
      </c>
      <c r="O113" s="5">
        <v>1307.0</v>
      </c>
      <c r="P113" s="5">
        <v>6223491.0</v>
      </c>
      <c r="Q113" s="5">
        <v>144773.0</v>
      </c>
    </row>
    <row r="114">
      <c r="A114" s="6">
        <v>45855.0</v>
      </c>
      <c r="B114" s="4" t="s">
        <v>17</v>
      </c>
      <c r="C114" s="5" t="str">
        <f t="shared" si="1"/>
        <v>Thursday</v>
      </c>
      <c r="D114" s="5" t="str">
        <f t="shared" si="2"/>
        <v>July</v>
      </c>
      <c r="E114" s="5" t="str">
        <f t="shared" si="3"/>
        <v>2025</v>
      </c>
      <c r="F114" s="5" t="str">
        <f t="shared" si="4"/>
        <v>Q3</v>
      </c>
      <c r="G114" s="5">
        <v>1598.0</v>
      </c>
      <c r="H114" s="5">
        <v>1610.0</v>
      </c>
      <c r="I114" s="5">
        <v>1580.1</v>
      </c>
      <c r="J114" s="5">
        <v>1607.9</v>
      </c>
      <c r="K114" s="5">
        <v>1581.0</v>
      </c>
      <c r="L114" s="5">
        <v>1583.5</v>
      </c>
      <c r="M114" s="5">
        <v>1590.26</v>
      </c>
      <c r="N114" s="5">
        <v>2006.45</v>
      </c>
      <c r="O114" s="5">
        <v>1307.0</v>
      </c>
      <c r="P114" s="5">
        <v>7374814.0</v>
      </c>
      <c r="Q114" s="5">
        <v>171441.0</v>
      </c>
    </row>
    <row r="115">
      <c r="A115" s="6">
        <v>45856.0</v>
      </c>
      <c r="B115" s="4" t="s">
        <v>17</v>
      </c>
      <c r="C115" s="5" t="str">
        <f t="shared" si="1"/>
        <v>Friday</v>
      </c>
      <c r="D115" s="5" t="str">
        <f t="shared" si="2"/>
        <v>July</v>
      </c>
      <c r="E115" s="5" t="str">
        <f t="shared" si="3"/>
        <v>2025</v>
      </c>
      <c r="F115" s="5" t="str">
        <f t="shared" si="4"/>
        <v>Q3</v>
      </c>
      <c r="G115" s="5">
        <v>1592.1</v>
      </c>
      <c r="H115" s="5">
        <v>1599.3</v>
      </c>
      <c r="I115" s="5">
        <v>1580.0</v>
      </c>
      <c r="J115" s="5">
        <v>1583.5</v>
      </c>
      <c r="K115" s="5">
        <v>1588.2</v>
      </c>
      <c r="L115" s="5">
        <v>1586.1</v>
      </c>
      <c r="M115" s="5">
        <v>1586.74</v>
      </c>
      <c r="N115" s="5">
        <v>2006.45</v>
      </c>
      <c r="O115" s="5">
        <v>1307.0</v>
      </c>
      <c r="P115" s="5">
        <v>5161833.0</v>
      </c>
      <c r="Q115" s="5">
        <v>113626.0</v>
      </c>
    </row>
    <row r="116">
      <c r="A116" s="6">
        <v>45859.0</v>
      </c>
      <c r="B116" s="4" t="s">
        <v>17</v>
      </c>
      <c r="C116" s="5" t="str">
        <f t="shared" si="1"/>
        <v>Monday</v>
      </c>
      <c r="D116" s="5" t="str">
        <f t="shared" si="2"/>
        <v>July</v>
      </c>
      <c r="E116" s="5" t="str">
        <f t="shared" si="3"/>
        <v>2025</v>
      </c>
      <c r="F116" s="5" t="str">
        <f t="shared" si="4"/>
        <v>Q3</v>
      </c>
      <c r="G116" s="5">
        <v>1580.0</v>
      </c>
      <c r="H116" s="5">
        <v>1589.0</v>
      </c>
      <c r="I116" s="5">
        <v>1566.8</v>
      </c>
      <c r="J116" s="5">
        <v>1586.1</v>
      </c>
      <c r="K116" s="5">
        <v>1585.6</v>
      </c>
      <c r="L116" s="5">
        <v>1584.3</v>
      </c>
      <c r="M116" s="5">
        <v>1579.48</v>
      </c>
      <c r="N116" s="5">
        <v>2006.45</v>
      </c>
      <c r="O116" s="5">
        <v>1307.0</v>
      </c>
      <c r="P116" s="5">
        <v>3682661.0</v>
      </c>
      <c r="Q116" s="5">
        <v>123969.0</v>
      </c>
    </row>
    <row r="117">
      <c r="A117" s="6">
        <v>45860.0</v>
      </c>
      <c r="B117" s="4" t="s">
        <v>17</v>
      </c>
      <c r="C117" s="5" t="str">
        <f t="shared" si="1"/>
        <v>Tuesday</v>
      </c>
      <c r="D117" s="5" t="str">
        <f t="shared" si="2"/>
        <v>July</v>
      </c>
      <c r="E117" s="5" t="str">
        <f t="shared" si="3"/>
        <v>2025</v>
      </c>
      <c r="F117" s="5" t="str">
        <f t="shared" si="4"/>
        <v>Q3</v>
      </c>
      <c r="G117" s="5">
        <v>1565.0</v>
      </c>
      <c r="H117" s="5">
        <v>1585.8</v>
      </c>
      <c r="I117" s="5">
        <v>1565.0</v>
      </c>
      <c r="J117" s="5">
        <v>1584.3</v>
      </c>
      <c r="K117" s="5">
        <v>1575.0</v>
      </c>
      <c r="L117" s="5">
        <v>1570.9</v>
      </c>
      <c r="M117" s="5">
        <v>1574.26</v>
      </c>
      <c r="N117" s="5">
        <v>2006.45</v>
      </c>
      <c r="O117" s="5">
        <v>1307.0</v>
      </c>
      <c r="P117" s="5">
        <v>8473741.0</v>
      </c>
      <c r="Q117" s="5">
        <v>176472.0</v>
      </c>
    </row>
    <row r="118">
      <c r="A118" s="6">
        <v>45861.0</v>
      </c>
      <c r="B118" s="4" t="s">
        <v>17</v>
      </c>
      <c r="C118" s="5" t="str">
        <f t="shared" si="1"/>
        <v>Wednesday</v>
      </c>
      <c r="D118" s="5" t="str">
        <f t="shared" si="2"/>
        <v>July</v>
      </c>
      <c r="E118" s="5" t="str">
        <f t="shared" si="3"/>
        <v>2025</v>
      </c>
      <c r="F118" s="5" t="str">
        <f t="shared" si="4"/>
        <v>Q3</v>
      </c>
      <c r="G118" s="5">
        <v>1576.3</v>
      </c>
      <c r="H118" s="5">
        <v>1591.9</v>
      </c>
      <c r="I118" s="5">
        <v>1550.0</v>
      </c>
      <c r="J118" s="5">
        <v>1570.9</v>
      </c>
      <c r="K118" s="5">
        <v>1558.9</v>
      </c>
      <c r="L118" s="5">
        <v>1574.5</v>
      </c>
      <c r="M118" s="5">
        <v>1580.42</v>
      </c>
      <c r="N118" s="5">
        <v>2006.45</v>
      </c>
      <c r="O118" s="5">
        <v>1307.0</v>
      </c>
      <c r="P118" s="5">
        <v>8035026.0</v>
      </c>
      <c r="Q118" s="5">
        <v>173368.0</v>
      </c>
    </row>
    <row r="119">
      <c r="A119" s="6">
        <v>45862.0</v>
      </c>
      <c r="B119" s="4" t="s">
        <v>17</v>
      </c>
      <c r="C119" s="5" t="str">
        <f t="shared" si="1"/>
        <v>Thursday</v>
      </c>
      <c r="D119" s="5" t="str">
        <f t="shared" si="2"/>
        <v>July</v>
      </c>
      <c r="E119" s="5" t="str">
        <f t="shared" si="3"/>
        <v>2025</v>
      </c>
      <c r="F119" s="5" t="str">
        <f t="shared" si="4"/>
        <v>Q3</v>
      </c>
      <c r="G119" s="5">
        <v>1580.0</v>
      </c>
      <c r="H119" s="5">
        <v>1582.0</v>
      </c>
      <c r="I119" s="5">
        <v>1548.2</v>
      </c>
      <c r="J119" s="5">
        <v>1574.5</v>
      </c>
      <c r="K119" s="5">
        <v>1553.0</v>
      </c>
      <c r="L119" s="5">
        <v>1552.5</v>
      </c>
      <c r="M119" s="5">
        <v>1557.81</v>
      </c>
      <c r="N119" s="5">
        <v>2006.45</v>
      </c>
      <c r="O119" s="5">
        <v>1307.0</v>
      </c>
      <c r="P119" s="5">
        <v>1.4169664E7</v>
      </c>
      <c r="Q119" s="5">
        <v>270970.0</v>
      </c>
    </row>
    <row r="120">
      <c r="A120" s="6">
        <v>45863.0</v>
      </c>
      <c r="B120" s="4" t="s">
        <v>17</v>
      </c>
      <c r="C120" s="5" t="str">
        <f t="shared" si="1"/>
        <v>Friday</v>
      </c>
      <c r="D120" s="5" t="str">
        <f t="shared" si="2"/>
        <v>July</v>
      </c>
      <c r="E120" s="5" t="str">
        <f t="shared" si="3"/>
        <v>2025</v>
      </c>
      <c r="F120" s="5" t="str">
        <f t="shared" si="4"/>
        <v>Q3</v>
      </c>
      <c r="G120" s="5">
        <v>1543.4</v>
      </c>
      <c r="H120" s="5">
        <v>1549.5</v>
      </c>
      <c r="I120" s="5">
        <v>1511.3</v>
      </c>
      <c r="J120" s="5">
        <v>1552.5</v>
      </c>
      <c r="K120" s="5">
        <v>1518.5</v>
      </c>
      <c r="L120" s="5">
        <v>1515.7</v>
      </c>
      <c r="M120" s="5">
        <v>1523.67</v>
      </c>
      <c r="N120" s="5">
        <v>2006.45</v>
      </c>
      <c r="O120" s="5">
        <v>1307.0</v>
      </c>
      <c r="P120" s="5">
        <v>1.0851259E7</v>
      </c>
      <c r="Q120" s="5">
        <v>241673.0</v>
      </c>
    </row>
    <row r="121">
      <c r="A121" s="6">
        <v>45866.0</v>
      </c>
      <c r="B121" s="4" t="s">
        <v>17</v>
      </c>
      <c r="C121" s="5" t="str">
        <f t="shared" si="1"/>
        <v>Monday</v>
      </c>
      <c r="D121" s="5" t="str">
        <f t="shared" si="2"/>
        <v>July</v>
      </c>
      <c r="E121" s="5" t="str">
        <f t="shared" si="3"/>
        <v>2025</v>
      </c>
      <c r="F121" s="5" t="str">
        <f t="shared" si="4"/>
        <v>Q3</v>
      </c>
      <c r="G121" s="5">
        <v>1513.9</v>
      </c>
      <c r="H121" s="5">
        <v>1519.3</v>
      </c>
      <c r="I121" s="5">
        <v>1482.5</v>
      </c>
      <c r="J121" s="5">
        <v>1515.7</v>
      </c>
      <c r="K121" s="5">
        <v>1514.9</v>
      </c>
      <c r="L121" s="5">
        <v>1516.0</v>
      </c>
      <c r="M121" s="5">
        <v>1508.3</v>
      </c>
      <c r="N121" s="5">
        <v>2006.45</v>
      </c>
      <c r="O121" s="5">
        <v>1307.0</v>
      </c>
      <c r="P121" s="5">
        <v>6439855.0</v>
      </c>
      <c r="Q121" s="5">
        <v>209764.0</v>
      </c>
    </row>
    <row r="122">
      <c r="A122" s="6">
        <v>45867.0</v>
      </c>
      <c r="B122" s="4" t="s">
        <v>17</v>
      </c>
      <c r="C122" s="5" t="str">
        <f t="shared" si="1"/>
        <v>Tuesday</v>
      </c>
      <c r="D122" s="5" t="str">
        <f t="shared" si="2"/>
        <v>July</v>
      </c>
      <c r="E122" s="5" t="str">
        <f t="shared" si="3"/>
        <v>2025</v>
      </c>
      <c r="F122" s="5" t="str">
        <f t="shared" si="4"/>
        <v>Q3</v>
      </c>
      <c r="G122" s="5">
        <v>1512.9</v>
      </c>
      <c r="H122" s="5">
        <v>1517.2</v>
      </c>
      <c r="I122" s="5">
        <v>1496.1</v>
      </c>
      <c r="J122" s="5">
        <v>1516.0</v>
      </c>
      <c r="K122" s="5">
        <v>1513.5</v>
      </c>
      <c r="L122" s="5">
        <v>1513.7</v>
      </c>
      <c r="M122" s="5">
        <v>1509.14</v>
      </c>
      <c r="N122" s="5">
        <v>2006.45</v>
      </c>
      <c r="O122" s="5">
        <v>1307.0</v>
      </c>
      <c r="P122" s="5">
        <v>7070448.0</v>
      </c>
      <c r="Q122" s="5">
        <v>229718.0</v>
      </c>
    </row>
    <row r="123">
      <c r="A123" s="6">
        <v>45868.0</v>
      </c>
      <c r="B123" s="4" t="s">
        <v>17</v>
      </c>
      <c r="C123" s="5" t="str">
        <f t="shared" si="1"/>
        <v>Wednesday</v>
      </c>
      <c r="D123" s="5" t="str">
        <f t="shared" si="2"/>
        <v>July</v>
      </c>
      <c r="E123" s="5" t="str">
        <f t="shared" si="3"/>
        <v>2025</v>
      </c>
      <c r="F123" s="5" t="str">
        <f t="shared" si="4"/>
        <v>Q3</v>
      </c>
      <c r="G123" s="5">
        <v>1519.9</v>
      </c>
      <c r="H123" s="5">
        <v>1521.7</v>
      </c>
      <c r="I123" s="5">
        <v>1506.0</v>
      </c>
      <c r="J123" s="5">
        <v>1513.7</v>
      </c>
      <c r="K123" s="5">
        <v>1518.0</v>
      </c>
      <c r="L123" s="5">
        <v>1519.0</v>
      </c>
      <c r="M123" s="5">
        <v>1515.04</v>
      </c>
      <c r="N123" s="5">
        <v>2006.45</v>
      </c>
      <c r="O123" s="5">
        <v>1307.0</v>
      </c>
      <c r="P123" s="5">
        <v>5719051.0</v>
      </c>
      <c r="Q123" s="5">
        <v>117771.0</v>
      </c>
    </row>
    <row r="124">
      <c r="A124" s="6">
        <v>45869.0</v>
      </c>
      <c r="B124" s="4" t="s">
        <v>17</v>
      </c>
      <c r="C124" s="5" t="str">
        <f t="shared" si="1"/>
        <v>Thursday</v>
      </c>
      <c r="D124" s="5" t="str">
        <f t="shared" si="2"/>
        <v>July</v>
      </c>
      <c r="E124" s="5" t="str">
        <f t="shared" si="3"/>
        <v>2025</v>
      </c>
      <c r="F124" s="5" t="str">
        <f t="shared" si="4"/>
        <v>Q3</v>
      </c>
      <c r="G124" s="5">
        <v>1509.7</v>
      </c>
      <c r="H124" s="5">
        <v>1527.1</v>
      </c>
      <c r="I124" s="5">
        <v>1497.0</v>
      </c>
      <c r="J124" s="5">
        <v>1519.0</v>
      </c>
      <c r="K124" s="5">
        <v>1508.9</v>
      </c>
      <c r="L124" s="5">
        <v>1509.0</v>
      </c>
      <c r="M124" s="5">
        <v>1510.45</v>
      </c>
      <c r="N124" s="5">
        <v>2006.45</v>
      </c>
      <c r="O124" s="5">
        <v>1307.0</v>
      </c>
      <c r="P124" s="5">
        <v>6851407.0</v>
      </c>
      <c r="Q124" s="5">
        <v>244747.0</v>
      </c>
    </row>
    <row r="125">
      <c r="A125" s="3">
        <v>45870.0</v>
      </c>
      <c r="B125" s="4" t="s">
        <v>17</v>
      </c>
      <c r="C125" s="5" t="str">
        <f t="shared" si="1"/>
        <v>Friday</v>
      </c>
      <c r="D125" s="5" t="str">
        <f t="shared" si="2"/>
        <v>August</v>
      </c>
      <c r="E125" s="5" t="str">
        <f t="shared" si="3"/>
        <v>2025</v>
      </c>
      <c r="F125" s="5" t="str">
        <f t="shared" si="4"/>
        <v>Q3</v>
      </c>
      <c r="G125" s="5">
        <v>1493.9</v>
      </c>
      <c r="H125" s="5">
        <v>1498.7</v>
      </c>
      <c r="I125" s="5">
        <v>1465.5</v>
      </c>
      <c r="J125" s="5">
        <v>1509.0</v>
      </c>
      <c r="K125" s="5">
        <v>1468.3</v>
      </c>
      <c r="L125" s="5">
        <v>1469.6</v>
      </c>
      <c r="M125" s="5">
        <v>1479.8</v>
      </c>
      <c r="N125" s="5">
        <v>2006.45</v>
      </c>
      <c r="O125" s="5">
        <v>1307.0</v>
      </c>
      <c r="P125" s="5">
        <v>8702978.0</v>
      </c>
      <c r="Q125" s="5">
        <v>245779.0</v>
      </c>
    </row>
    <row r="126">
      <c r="A126" s="3">
        <v>45873.0</v>
      </c>
      <c r="B126" s="4" t="s">
        <v>17</v>
      </c>
      <c r="C126" s="5" t="str">
        <f t="shared" si="1"/>
        <v>Monday</v>
      </c>
      <c r="D126" s="5" t="str">
        <f t="shared" si="2"/>
        <v>August</v>
      </c>
      <c r="E126" s="5" t="str">
        <f t="shared" si="3"/>
        <v>2025</v>
      </c>
      <c r="F126" s="5" t="str">
        <f t="shared" si="4"/>
        <v>Q3</v>
      </c>
      <c r="G126" s="5">
        <v>1461.5</v>
      </c>
      <c r="H126" s="5">
        <v>1482.8</v>
      </c>
      <c r="I126" s="5">
        <v>1451.0</v>
      </c>
      <c r="J126" s="5">
        <v>1469.6</v>
      </c>
      <c r="K126" s="5">
        <v>1480.7</v>
      </c>
      <c r="L126" s="5">
        <v>1480.5</v>
      </c>
      <c r="M126" s="5">
        <v>1469.55</v>
      </c>
      <c r="N126" s="5">
        <v>2006.45</v>
      </c>
      <c r="O126" s="5">
        <v>1307.0</v>
      </c>
      <c r="P126" s="5">
        <v>8610216.0</v>
      </c>
      <c r="Q126" s="5">
        <v>203292.0</v>
      </c>
    </row>
    <row r="127">
      <c r="A127" s="3">
        <v>45874.0</v>
      </c>
      <c r="B127" s="4" t="s">
        <v>17</v>
      </c>
      <c r="C127" s="5" t="str">
        <f t="shared" si="1"/>
        <v>Tuesday</v>
      </c>
      <c r="D127" s="5" t="str">
        <f t="shared" si="2"/>
        <v>August</v>
      </c>
      <c r="E127" s="5" t="str">
        <f t="shared" si="3"/>
        <v>2025</v>
      </c>
      <c r="F127" s="5" t="str">
        <f t="shared" si="4"/>
        <v>Q3</v>
      </c>
      <c r="G127" s="5">
        <v>1478.7</v>
      </c>
      <c r="H127" s="5">
        <v>1478.7</v>
      </c>
      <c r="I127" s="5">
        <v>1455.0</v>
      </c>
      <c r="J127" s="5">
        <v>1480.5</v>
      </c>
      <c r="K127" s="5">
        <v>1460.0</v>
      </c>
      <c r="L127" s="5">
        <v>1460.3</v>
      </c>
      <c r="M127" s="5">
        <v>1461.05</v>
      </c>
      <c r="N127" s="5">
        <v>2006.45</v>
      </c>
      <c r="O127" s="5">
        <v>1307.0</v>
      </c>
      <c r="P127" s="5">
        <v>1.0213323E7</v>
      </c>
      <c r="Q127" s="5">
        <v>259533.0</v>
      </c>
    </row>
    <row r="128">
      <c r="A128" s="3">
        <v>45875.0</v>
      </c>
      <c r="B128" s="4" t="s">
        <v>17</v>
      </c>
      <c r="C128" s="5" t="str">
        <f t="shared" si="1"/>
        <v>Wednesday</v>
      </c>
      <c r="D128" s="5" t="str">
        <f t="shared" si="2"/>
        <v>August</v>
      </c>
      <c r="E128" s="5" t="str">
        <f t="shared" si="3"/>
        <v>2025</v>
      </c>
      <c r="F128" s="5" t="str">
        <f t="shared" si="4"/>
        <v>Q3</v>
      </c>
      <c r="G128" s="5">
        <v>1452.0</v>
      </c>
      <c r="H128" s="5">
        <v>1456.1</v>
      </c>
      <c r="I128" s="5">
        <v>1430.3</v>
      </c>
      <c r="J128" s="5">
        <v>1460.3</v>
      </c>
      <c r="K128" s="5">
        <v>1433.0</v>
      </c>
      <c r="L128" s="5">
        <v>1436.7</v>
      </c>
      <c r="M128" s="5">
        <v>1440.41</v>
      </c>
      <c r="N128" s="5">
        <v>2006.45</v>
      </c>
      <c r="O128" s="5">
        <v>1307.0</v>
      </c>
      <c r="P128" s="5">
        <v>1.0566934E7</v>
      </c>
      <c r="Q128" s="5">
        <v>324361.0</v>
      </c>
    </row>
    <row r="129">
      <c r="A129" s="3">
        <v>45876.0</v>
      </c>
      <c r="B129" s="4" t="s">
        <v>17</v>
      </c>
      <c r="C129" s="5" t="str">
        <f t="shared" si="1"/>
        <v>Thursday</v>
      </c>
      <c r="D129" s="5" t="str">
        <f t="shared" si="2"/>
        <v>August</v>
      </c>
      <c r="E129" s="5" t="str">
        <f t="shared" si="3"/>
        <v>2025</v>
      </c>
      <c r="F129" s="5" t="str">
        <f t="shared" si="4"/>
        <v>Q3</v>
      </c>
      <c r="G129" s="5">
        <v>1430.0</v>
      </c>
      <c r="H129" s="5">
        <v>1442.0</v>
      </c>
      <c r="I129" s="5">
        <v>1414.2</v>
      </c>
      <c r="J129" s="5">
        <v>1436.7</v>
      </c>
      <c r="K129" s="5">
        <v>1441.0</v>
      </c>
      <c r="L129" s="5">
        <v>1436.9</v>
      </c>
      <c r="M129" s="5">
        <v>1428.81</v>
      </c>
      <c r="N129" s="5">
        <v>2006.45</v>
      </c>
      <c r="O129" s="5">
        <v>1307.0</v>
      </c>
      <c r="P129" s="5">
        <v>9892020.0</v>
      </c>
      <c r="Q129" s="5">
        <v>274685.0</v>
      </c>
    </row>
    <row r="130">
      <c r="A130" s="3">
        <v>45877.0</v>
      </c>
      <c r="B130" s="4" t="s">
        <v>17</v>
      </c>
      <c r="C130" s="5" t="str">
        <f t="shared" si="1"/>
        <v>Friday</v>
      </c>
      <c r="D130" s="5" t="str">
        <f t="shared" si="2"/>
        <v>August</v>
      </c>
      <c r="E130" s="5" t="str">
        <f t="shared" si="3"/>
        <v>2025</v>
      </c>
      <c r="F130" s="5" t="str">
        <f t="shared" si="4"/>
        <v>Q3</v>
      </c>
      <c r="G130" s="5">
        <v>1425.0</v>
      </c>
      <c r="H130" s="5">
        <v>1433.2</v>
      </c>
      <c r="I130" s="5">
        <v>1417.1</v>
      </c>
      <c r="J130" s="5">
        <v>1436.9</v>
      </c>
      <c r="K130" s="5">
        <v>1424.0</v>
      </c>
      <c r="L130" s="5">
        <v>1423.1</v>
      </c>
      <c r="M130" s="5">
        <v>1424.44</v>
      </c>
      <c r="N130" s="5">
        <v>2006.45</v>
      </c>
      <c r="O130" s="5">
        <v>1307.0</v>
      </c>
      <c r="P130" s="5">
        <v>1.0048009E7</v>
      </c>
      <c r="Q130" s="5">
        <v>310037.0</v>
      </c>
    </row>
    <row r="131">
      <c r="A131" s="6">
        <v>45880.0</v>
      </c>
      <c r="B131" s="4" t="s">
        <v>17</v>
      </c>
      <c r="C131" s="5" t="str">
        <f t="shared" si="1"/>
        <v>Monday</v>
      </c>
      <c r="D131" s="5" t="str">
        <f t="shared" si="2"/>
        <v>August</v>
      </c>
      <c r="E131" s="5" t="str">
        <f t="shared" si="3"/>
        <v>2025</v>
      </c>
      <c r="F131" s="5" t="str">
        <f t="shared" si="4"/>
        <v>Q3</v>
      </c>
      <c r="G131" s="5">
        <v>1419.9</v>
      </c>
      <c r="H131" s="5">
        <v>1433.4</v>
      </c>
      <c r="I131" s="5">
        <v>1414.0</v>
      </c>
      <c r="J131" s="5">
        <v>1423.1</v>
      </c>
      <c r="K131" s="5">
        <v>1426.0</v>
      </c>
      <c r="L131" s="5">
        <v>1428.2</v>
      </c>
      <c r="M131" s="5">
        <v>1425.61</v>
      </c>
      <c r="N131" s="5">
        <v>2006.45</v>
      </c>
      <c r="O131" s="5">
        <v>1307.0</v>
      </c>
      <c r="P131" s="5">
        <v>6625368.0</v>
      </c>
      <c r="Q131" s="5">
        <v>287957.0</v>
      </c>
    </row>
    <row r="132">
      <c r="A132" s="6">
        <v>45881.0</v>
      </c>
      <c r="B132" s="4" t="s">
        <v>17</v>
      </c>
      <c r="C132" s="5" t="str">
        <f t="shared" si="1"/>
        <v>Tuesday</v>
      </c>
      <c r="D132" s="5" t="str">
        <f t="shared" si="2"/>
        <v>August</v>
      </c>
      <c r="E132" s="5" t="str">
        <f t="shared" si="3"/>
        <v>2025</v>
      </c>
      <c r="F132" s="5" t="str">
        <f t="shared" si="4"/>
        <v>Q3</v>
      </c>
      <c r="G132" s="5">
        <v>1428.2</v>
      </c>
      <c r="H132" s="5">
        <v>1441.0</v>
      </c>
      <c r="I132" s="5">
        <v>1421.0</v>
      </c>
      <c r="J132" s="5">
        <v>1428.2</v>
      </c>
      <c r="K132" s="5">
        <v>1425.8</v>
      </c>
      <c r="L132" s="5">
        <v>1424.1</v>
      </c>
      <c r="M132" s="5">
        <v>1431.09</v>
      </c>
      <c r="N132" s="5">
        <v>2006.45</v>
      </c>
      <c r="O132" s="5">
        <v>1307.0</v>
      </c>
      <c r="P132" s="5">
        <v>9899184.0</v>
      </c>
      <c r="Q132" s="5">
        <v>296874.0</v>
      </c>
    </row>
    <row r="133">
      <c r="A133" s="6">
        <v>45882.0</v>
      </c>
      <c r="B133" s="4" t="s">
        <v>17</v>
      </c>
      <c r="C133" s="5" t="str">
        <f t="shared" si="1"/>
        <v>Wednesday</v>
      </c>
      <c r="D133" s="5" t="str">
        <f t="shared" si="2"/>
        <v>August</v>
      </c>
      <c r="E133" s="5" t="str">
        <f t="shared" si="3"/>
        <v>2025</v>
      </c>
      <c r="F133" s="5" t="str">
        <f t="shared" si="4"/>
        <v>Q3</v>
      </c>
      <c r="G133" s="5">
        <v>1425.0</v>
      </c>
      <c r="H133" s="5">
        <v>1434.0</v>
      </c>
      <c r="I133" s="5">
        <v>1422.4</v>
      </c>
      <c r="J133" s="5">
        <v>1424.1</v>
      </c>
      <c r="K133" s="5">
        <v>1426.4</v>
      </c>
      <c r="L133" s="5">
        <v>1426.6</v>
      </c>
      <c r="M133" s="5">
        <v>1427.16</v>
      </c>
      <c r="N133" s="5">
        <v>2006.45</v>
      </c>
      <c r="O133" s="5">
        <v>1307.0</v>
      </c>
      <c r="P133" s="5">
        <v>1.0318063E7</v>
      </c>
      <c r="Q133" s="5">
        <v>282240.0</v>
      </c>
    </row>
    <row r="134">
      <c r="A134" s="6">
        <v>45883.0</v>
      </c>
      <c r="B134" s="4" t="s">
        <v>17</v>
      </c>
      <c r="C134" s="5" t="str">
        <f t="shared" si="1"/>
        <v>Thursday</v>
      </c>
      <c r="D134" s="5" t="str">
        <f t="shared" si="2"/>
        <v>August</v>
      </c>
      <c r="E134" s="5" t="str">
        <f t="shared" si="3"/>
        <v>2025</v>
      </c>
      <c r="F134" s="5" t="str">
        <f t="shared" si="4"/>
        <v>Q3</v>
      </c>
      <c r="G134" s="5">
        <v>1426.2</v>
      </c>
      <c r="H134" s="5">
        <v>1470.0</v>
      </c>
      <c r="I134" s="5">
        <v>1426.2</v>
      </c>
      <c r="J134" s="5">
        <v>1426.6</v>
      </c>
      <c r="K134" s="5">
        <v>1448.0</v>
      </c>
      <c r="L134" s="5">
        <v>1447.7</v>
      </c>
      <c r="M134" s="5">
        <v>1451.87</v>
      </c>
      <c r="N134" s="5">
        <v>2006.45</v>
      </c>
      <c r="O134" s="5">
        <v>1307.0</v>
      </c>
      <c r="P134" s="5">
        <v>1.2902347E7</v>
      </c>
      <c r="Q134" s="5">
        <v>216803.0</v>
      </c>
    </row>
    <row r="135">
      <c r="A135" s="6">
        <v>45887.0</v>
      </c>
      <c r="B135" s="4" t="s">
        <v>17</v>
      </c>
      <c r="C135" s="5" t="str">
        <f t="shared" si="1"/>
        <v>Monday</v>
      </c>
      <c r="D135" s="5" t="str">
        <f t="shared" si="2"/>
        <v>August</v>
      </c>
      <c r="E135" s="5" t="str">
        <f t="shared" si="3"/>
        <v>2025</v>
      </c>
      <c r="F135" s="5" t="str">
        <f t="shared" si="4"/>
        <v>Q3</v>
      </c>
      <c r="G135" s="5">
        <v>1464.7</v>
      </c>
      <c r="H135" s="5">
        <v>1464.7</v>
      </c>
      <c r="I135" s="5">
        <v>1429.6</v>
      </c>
      <c r="J135" s="5">
        <v>1447.7</v>
      </c>
      <c r="K135" s="5">
        <v>1436.0</v>
      </c>
      <c r="L135" s="5">
        <v>1435.8</v>
      </c>
      <c r="M135" s="5">
        <v>1438.72</v>
      </c>
      <c r="N135" s="5">
        <v>2006.45</v>
      </c>
      <c r="O135" s="5">
        <v>1307.0</v>
      </c>
      <c r="P135" s="5">
        <v>7254561.0</v>
      </c>
      <c r="Q135" s="5">
        <v>182842.0</v>
      </c>
    </row>
    <row r="136">
      <c r="A136" s="6">
        <v>45888.0</v>
      </c>
      <c r="B136" s="4" t="s">
        <v>17</v>
      </c>
      <c r="C136" s="5" t="str">
        <f t="shared" si="1"/>
        <v>Tuesday</v>
      </c>
      <c r="D136" s="5" t="str">
        <f t="shared" si="2"/>
        <v>August</v>
      </c>
      <c r="E136" s="5" t="str">
        <f t="shared" si="3"/>
        <v>2025</v>
      </c>
      <c r="F136" s="5" t="str">
        <f t="shared" si="4"/>
        <v>Q3</v>
      </c>
      <c r="G136" s="5">
        <v>1432.7</v>
      </c>
      <c r="H136" s="5">
        <v>1449.4</v>
      </c>
      <c r="I136" s="5">
        <v>1432.7</v>
      </c>
      <c r="J136" s="5">
        <v>1435.8</v>
      </c>
      <c r="K136" s="5">
        <v>1442.5</v>
      </c>
      <c r="L136" s="5">
        <v>1440.0</v>
      </c>
      <c r="M136" s="5">
        <v>1442.34</v>
      </c>
      <c r="N136" s="5">
        <v>2006.45</v>
      </c>
      <c r="O136" s="5">
        <v>1307.0</v>
      </c>
      <c r="P136" s="5">
        <v>3986094.0</v>
      </c>
      <c r="Q136" s="5">
        <v>147879.0</v>
      </c>
    </row>
    <row r="137">
      <c r="A137" s="6">
        <v>45889.0</v>
      </c>
      <c r="B137" s="4" t="s">
        <v>17</v>
      </c>
      <c r="C137" s="5" t="str">
        <f t="shared" si="1"/>
        <v>Wednesday</v>
      </c>
      <c r="D137" s="5" t="str">
        <f t="shared" si="2"/>
        <v>August</v>
      </c>
      <c r="E137" s="5" t="str">
        <f t="shared" si="3"/>
        <v>2025</v>
      </c>
      <c r="F137" s="5" t="str">
        <f t="shared" si="4"/>
        <v>Q3</v>
      </c>
      <c r="G137" s="5">
        <v>1440.7</v>
      </c>
      <c r="H137" s="5">
        <v>1499.0</v>
      </c>
      <c r="I137" s="5">
        <v>1440.7</v>
      </c>
      <c r="J137" s="5">
        <v>1440.0</v>
      </c>
      <c r="K137" s="5">
        <v>1495.1</v>
      </c>
      <c r="L137" s="5">
        <v>1496.2</v>
      </c>
      <c r="M137" s="5">
        <v>1482.74</v>
      </c>
      <c r="N137" s="5">
        <v>2006.45</v>
      </c>
      <c r="O137" s="5">
        <v>1307.0</v>
      </c>
      <c r="P137" s="5">
        <v>1.0413061E7</v>
      </c>
      <c r="Q137" s="5">
        <v>307308.0</v>
      </c>
    </row>
    <row r="138">
      <c r="A138" s="6">
        <v>45890.0</v>
      </c>
      <c r="B138" s="4" t="s">
        <v>17</v>
      </c>
      <c r="C138" s="5" t="str">
        <f t="shared" si="1"/>
        <v>Thursday</v>
      </c>
      <c r="D138" s="5" t="str">
        <f t="shared" si="2"/>
        <v>August</v>
      </c>
      <c r="E138" s="5" t="str">
        <f t="shared" si="3"/>
        <v>2025</v>
      </c>
      <c r="F138" s="5" t="str">
        <f t="shared" si="4"/>
        <v>Q3</v>
      </c>
      <c r="G138" s="5">
        <v>1508.0</v>
      </c>
      <c r="H138" s="5">
        <v>1508.0</v>
      </c>
      <c r="I138" s="5">
        <v>1484.3</v>
      </c>
      <c r="J138" s="5">
        <v>1496.2</v>
      </c>
      <c r="K138" s="5">
        <v>1495.5</v>
      </c>
      <c r="L138" s="5">
        <v>1496.4</v>
      </c>
      <c r="M138" s="5">
        <v>1497.17</v>
      </c>
      <c r="N138" s="5">
        <v>2006.45</v>
      </c>
      <c r="O138" s="5">
        <v>1307.0</v>
      </c>
      <c r="P138" s="5">
        <v>6565539.0</v>
      </c>
      <c r="Q138" s="5">
        <v>208499.0</v>
      </c>
    </row>
    <row r="139">
      <c r="A139" s="6">
        <v>45891.0</v>
      </c>
      <c r="B139" s="4" t="s">
        <v>17</v>
      </c>
      <c r="C139" s="5" t="str">
        <f t="shared" si="1"/>
        <v>Friday</v>
      </c>
      <c r="D139" s="5" t="str">
        <f t="shared" si="2"/>
        <v>August</v>
      </c>
      <c r="E139" s="5" t="str">
        <f t="shared" si="3"/>
        <v>2025</v>
      </c>
      <c r="F139" s="5" t="str">
        <f t="shared" si="4"/>
        <v>Q3</v>
      </c>
      <c r="G139" s="5">
        <v>1498.1</v>
      </c>
      <c r="H139" s="5">
        <v>1504.3</v>
      </c>
      <c r="I139" s="5">
        <v>1486.1</v>
      </c>
      <c r="J139" s="5">
        <v>1496.4</v>
      </c>
      <c r="K139" s="5">
        <v>1487.9</v>
      </c>
      <c r="L139" s="5">
        <v>1487.5</v>
      </c>
      <c r="M139" s="5">
        <v>1492.1</v>
      </c>
      <c r="N139" s="5">
        <v>2006.45</v>
      </c>
      <c r="O139" s="5">
        <v>1307.0</v>
      </c>
      <c r="P139" s="5">
        <v>5543397.0</v>
      </c>
      <c r="Q139" s="5">
        <v>181180.0</v>
      </c>
    </row>
    <row r="140">
      <c r="A140" s="6">
        <v>45894.0</v>
      </c>
      <c r="B140" s="4" t="s">
        <v>17</v>
      </c>
      <c r="C140" s="5" t="str">
        <f t="shared" si="1"/>
        <v>Monday</v>
      </c>
      <c r="D140" s="5" t="str">
        <f t="shared" si="2"/>
        <v>August</v>
      </c>
      <c r="E140" s="5" t="str">
        <f t="shared" si="3"/>
        <v>2025</v>
      </c>
      <c r="F140" s="5" t="str">
        <f t="shared" si="4"/>
        <v>Q3</v>
      </c>
      <c r="G140" s="5">
        <v>1506.7</v>
      </c>
      <c r="H140" s="5">
        <v>1539.0</v>
      </c>
      <c r="I140" s="5">
        <v>1506.7</v>
      </c>
      <c r="J140" s="5">
        <v>1487.5</v>
      </c>
      <c r="K140" s="5">
        <v>1533.3</v>
      </c>
      <c r="L140" s="5">
        <v>1532.1</v>
      </c>
      <c r="M140" s="5">
        <v>1529.98</v>
      </c>
      <c r="N140" s="5">
        <v>2006.45</v>
      </c>
      <c r="O140" s="5">
        <v>1307.0</v>
      </c>
      <c r="P140" s="5">
        <v>1.0694531E7</v>
      </c>
      <c r="Q140" s="5">
        <v>293354.0</v>
      </c>
    </row>
    <row r="141">
      <c r="A141" s="6">
        <v>45895.0</v>
      </c>
      <c r="B141" s="4" t="s">
        <v>17</v>
      </c>
      <c r="C141" s="5" t="str">
        <f t="shared" si="1"/>
        <v>Tuesday</v>
      </c>
      <c r="D141" s="5" t="str">
        <f t="shared" si="2"/>
        <v>August</v>
      </c>
      <c r="E141" s="5" t="str">
        <f t="shared" si="3"/>
        <v>2025</v>
      </c>
      <c r="F141" s="5" t="str">
        <f t="shared" si="4"/>
        <v>Q3</v>
      </c>
      <c r="G141" s="5">
        <v>1523.0</v>
      </c>
      <c r="H141" s="5">
        <v>1538.4</v>
      </c>
      <c r="I141" s="5">
        <v>1518.6</v>
      </c>
      <c r="J141" s="5">
        <v>1532.1</v>
      </c>
      <c r="K141" s="5">
        <v>1525.8</v>
      </c>
      <c r="L141" s="5">
        <v>1529.6</v>
      </c>
      <c r="M141" s="5">
        <v>1528.71</v>
      </c>
      <c r="N141" s="5">
        <v>2006.45</v>
      </c>
      <c r="O141" s="5">
        <v>1307.0</v>
      </c>
      <c r="P141" s="5">
        <v>1.5994798E7</v>
      </c>
      <c r="Q141" s="5">
        <v>229265.0</v>
      </c>
    </row>
    <row r="142">
      <c r="A142" s="6">
        <v>45897.0</v>
      </c>
      <c r="B142" s="4" t="s">
        <v>17</v>
      </c>
      <c r="C142" s="5" t="str">
        <f t="shared" si="1"/>
        <v>Thursday</v>
      </c>
      <c r="D142" s="5" t="str">
        <f t="shared" si="2"/>
        <v>August</v>
      </c>
      <c r="E142" s="5" t="str">
        <f t="shared" si="3"/>
        <v>2025</v>
      </c>
      <c r="F142" s="5" t="str">
        <f t="shared" si="4"/>
        <v>Q3</v>
      </c>
      <c r="G142" s="5">
        <v>1529.6</v>
      </c>
      <c r="H142" s="5">
        <v>1529.6</v>
      </c>
      <c r="I142" s="5">
        <v>1498.0</v>
      </c>
      <c r="J142" s="5">
        <v>1529.6</v>
      </c>
      <c r="K142" s="5">
        <v>1503.0</v>
      </c>
      <c r="L142" s="5">
        <v>1500.1</v>
      </c>
      <c r="M142" s="5">
        <v>1505.61</v>
      </c>
      <c r="N142" s="5">
        <v>2006.45</v>
      </c>
      <c r="O142" s="5">
        <v>1307.0</v>
      </c>
      <c r="P142" s="5">
        <v>5443364.0</v>
      </c>
      <c r="Q142" s="5">
        <v>191326.0</v>
      </c>
    </row>
    <row r="143">
      <c r="A143" s="6">
        <v>45898.0</v>
      </c>
      <c r="B143" s="4" t="s">
        <v>17</v>
      </c>
      <c r="C143" s="5" t="str">
        <f t="shared" si="1"/>
        <v>Friday</v>
      </c>
      <c r="D143" s="5" t="str">
        <f t="shared" si="2"/>
        <v>August</v>
      </c>
      <c r="E143" s="5" t="str">
        <f t="shared" si="3"/>
        <v>2025</v>
      </c>
      <c r="F143" s="5" t="str">
        <f t="shared" si="4"/>
        <v>Q3</v>
      </c>
      <c r="G143" s="5">
        <v>1501.9</v>
      </c>
      <c r="H143" s="5">
        <v>1501.9</v>
      </c>
      <c r="I143" s="5">
        <v>1467.7</v>
      </c>
      <c r="J143" s="5">
        <v>1500.1</v>
      </c>
      <c r="K143" s="5">
        <v>1469.0</v>
      </c>
      <c r="L143" s="5">
        <v>1469.6</v>
      </c>
      <c r="M143" s="5">
        <v>1479.78</v>
      </c>
      <c r="N143" s="5">
        <v>2006.45</v>
      </c>
      <c r="O143" s="5">
        <v>1307.0</v>
      </c>
      <c r="P143" s="5">
        <v>8169075.0</v>
      </c>
      <c r="Q143" s="5">
        <v>180969.0</v>
      </c>
    </row>
    <row r="144">
      <c r="A144" s="3">
        <v>45901.0</v>
      </c>
      <c r="B144" s="4" t="s">
        <v>17</v>
      </c>
      <c r="C144" s="5" t="str">
        <f t="shared" si="1"/>
        <v>Monday</v>
      </c>
      <c r="D144" s="5" t="str">
        <f t="shared" si="2"/>
        <v>September</v>
      </c>
      <c r="E144" s="5" t="str">
        <f t="shared" si="3"/>
        <v>2025</v>
      </c>
      <c r="F144" s="5" t="str">
        <f t="shared" si="4"/>
        <v>Q3</v>
      </c>
      <c r="G144" s="5">
        <v>1476.7</v>
      </c>
      <c r="H144" s="5">
        <v>1503.4</v>
      </c>
      <c r="I144" s="5">
        <v>1476.2</v>
      </c>
      <c r="J144" s="5">
        <v>1469.6</v>
      </c>
      <c r="K144" s="5">
        <v>1500.6</v>
      </c>
      <c r="L144" s="5">
        <v>1499.4</v>
      </c>
      <c r="M144" s="5">
        <v>1497.49</v>
      </c>
      <c r="N144" s="5">
        <v>2006.45</v>
      </c>
      <c r="O144" s="5">
        <v>1307.0</v>
      </c>
      <c r="P144" s="5">
        <v>4546057.0</v>
      </c>
      <c r="Q144" s="5">
        <v>251323.0</v>
      </c>
    </row>
    <row r="145">
      <c r="A145" s="3">
        <v>45902.0</v>
      </c>
      <c r="B145" s="4" t="s">
        <v>17</v>
      </c>
      <c r="C145" s="5" t="str">
        <f t="shared" si="1"/>
        <v>Tuesday</v>
      </c>
      <c r="D145" s="5" t="str">
        <f t="shared" si="2"/>
        <v>September</v>
      </c>
      <c r="E145" s="5" t="str">
        <f t="shared" si="3"/>
        <v>2025</v>
      </c>
      <c r="F145" s="5" t="str">
        <f t="shared" si="4"/>
        <v>Q3</v>
      </c>
      <c r="G145" s="5">
        <v>1499.4</v>
      </c>
      <c r="H145" s="5">
        <v>1512.8</v>
      </c>
      <c r="I145" s="5">
        <v>1486.3</v>
      </c>
      <c r="J145" s="5">
        <v>1499.4</v>
      </c>
      <c r="K145" s="5">
        <v>1494.0</v>
      </c>
      <c r="L145" s="5">
        <v>1498.7</v>
      </c>
      <c r="M145" s="5">
        <v>1501.52</v>
      </c>
      <c r="N145" s="5">
        <v>2006.45</v>
      </c>
      <c r="O145" s="5">
        <v>1307.0</v>
      </c>
      <c r="P145" s="5">
        <v>5218763.0</v>
      </c>
      <c r="Q145" s="5">
        <v>230255.0</v>
      </c>
    </row>
    <row r="146">
      <c r="A146" s="3">
        <v>45903.0</v>
      </c>
      <c r="B146" s="4" t="s">
        <v>17</v>
      </c>
      <c r="C146" s="5" t="str">
        <f t="shared" si="1"/>
        <v>Wednesday</v>
      </c>
      <c r="D146" s="5" t="str">
        <f t="shared" si="2"/>
        <v>September</v>
      </c>
      <c r="E146" s="5" t="str">
        <f t="shared" si="3"/>
        <v>2025</v>
      </c>
      <c r="F146" s="5" t="str">
        <f t="shared" si="4"/>
        <v>Q3</v>
      </c>
      <c r="G146" s="5">
        <v>1500.0</v>
      </c>
      <c r="H146" s="5">
        <v>1501.9</v>
      </c>
      <c r="I146" s="5">
        <v>1473.0</v>
      </c>
      <c r="J146" s="5">
        <v>1498.7</v>
      </c>
      <c r="K146" s="5">
        <v>1480.0</v>
      </c>
      <c r="L146" s="5">
        <v>1479.1</v>
      </c>
      <c r="M146" s="5">
        <v>1479.49</v>
      </c>
      <c r="N146" s="5">
        <v>2006.45</v>
      </c>
      <c r="O146" s="5">
        <v>1307.0</v>
      </c>
      <c r="P146" s="5">
        <v>4623483.0</v>
      </c>
      <c r="Q146" s="5">
        <v>194968.0</v>
      </c>
    </row>
    <row r="147">
      <c r="A147" s="3">
        <v>45904.0</v>
      </c>
      <c r="B147" s="4" t="s">
        <v>17</v>
      </c>
      <c r="C147" s="5" t="str">
        <f t="shared" si="1"/>
        <v>Thursday</v>
      </c>
      <c r="D147" s="5" t="str">
        <f t="shared" si="2"/>
        <v>September</v>
      </c>
      <c r="E147" s="5" t="str">
        <f t="shared" si="3"/>
        <v>2025</v>
      </c>
      <c r="F147" s="5" t="str">
        <f t="shared" si="4"/>
        <v>Q3</v>
      </c>
      <c r="G147" s="5">
        <v>1484.0</v>
      </c>
      <c r="H147" s="5">
        <v>1484.0</v>
      </c>
      <c r="I147" s="5">
        <v>1460.1</v>
      </c>
      <c r="J147" s="5">
        <v>1479.1</v>
      </c>
      <c r="K147" s="5">
        <v>1461.5</v>
      </c>
      <c r="L147" s="5">
        <v>1463.0</v>
      </c>
      <c r="M147" s="5">
        <v>1469.07</v>
      </c>
      <c r="N147" s="5">
        <v>2006.45</v>
      </c>
      <c r="O147" s="5">
        <v>1307.0</v>
      </c>
      <c r="P147" s="5">
        <v>5787724.0</v>
      </c>
      <c r="Q147" s="5">
        <v>187871.0</v>
      </c>
    </row>
    <row r="148">
      <c r="A148" s="3">
        <v>45905.0</v>
      </c>
      <c r="B148" s="4" t="s">
        <v>17</v>
      </c>
      <c r="C148" s="5" t="str">
        <f t="shared" si="1"/>
        <v>Friday</v>
      </c>
      <c r="D148" s="5" t="str">
        <f t="shared" si="2"/>
        <v>September</v>
      </c>
      <c r="E148" s="5" t="str">
        <f t="shared" si="3"/>
        <v>2025</v>
      </c>
      <c r="F148" s="5" t="str">
        <f t="shared" si="4"/>
        <v>Q3</v>
      </c>
      <c r="G148" s="5">
        <v>1470.0</v>
      </c>
      <c r="H148" s="5">
        <v>1472.7</v>
      </c>
      <c r="I148" s="5">
        <v>1433.0</v>
      </c>
      <c r="J148" s="5">
        <v>1463.0</v>
      </c>
      <c r="K148" s="5">
        <v>1446.0</v>
      </c>
      <c r="L148" s="5">
        <v>1444.6</v>
      </c>
      <c r="M148" s="5">
        <v>1445.24</v>
      </c>
      <c r="N148" s="5">
        <v>2006.45</v>
      </c>
      <c r="O148" s="5">
        <v>1307.0</v>
      </c>
      <c r="P148" s="5">
        <v>5466487.0</v>
      </c>
      <c r="Q148" s="5">
        <v>166130.0</v>
      </c>
    </row>
    <row r="149">
      <c r="A149" s="3">
        <v>45908.0</v>
      </c>
      <c r="B149" s="4" t="s">
        <v>17</v>
      </c>
      <c r="C149" s="5" t="str">
        <f t="shared" si="1"/>
        <v>Monday</v>
      </c>
      <c r="D149" s="5" t="str">
        <f t="shared" si="2"/>
        <v>September</v>
      </c>
      <c r="E149" s="5" t="str">
        <f t="shared" si="3"/>
        <v>2025</v>
      </c>
      <c r="F149" s="5" t="str">
        <f t="shared" si="4"/>
        <v>Q3</v>
      </c>
      <c r="G149" s="5">
        <v>1451.0</v>
      </c>
      <c r="H149" s="5">
        <v>1458.0</v>
      </c>
      <c r="I149" s="5">
        <v>1428.3</v>
      </c>
      <c r="J149" s="5">
        <v>1444.6</v>
      </c>
      <c r="K149" s="5">
        <v>1436.1</v>
      </c>
      <c r="L149" s="5">
        <v>1432.9</v>
      </c>
      <c r="M149" s="5">
        <v>1436.94</v>
      </c>
      <c r="N149" s="5">
        <v>2006.45</v>
      </c>
      <c r="O149" s="5">
        <v>1307.0</v>
      </c>
      <c r="P149" s="5">
        <v>3811567.0</v>
      </c>
      <c r="Q149" s="5">
        <v>151828.0</v>
      </c>
    </row>
    <row r="150">
      <c r="A150" s="3">
        <v>45909.0</v>
      </c>
      <c r="B150" s="4" t="s">
        <v>17</v>
      </c>
      <c r="C150" s="5" t="str">
        <f t="shared" si="1"/>
        <v>Tuesday</v>
      </c>
      <c r="D150" s="5" t="str">
        <f t="shared" si="2"/>
        <v>September</v>
      </c>
      <c r="E150" s="5" t="str">
        <f t="shared" si="3"/>
        <v>2025</v>
      </c>
      <c r="F150" s="5" t="str">
        <f t="shared" si="4"/>
        <v>Q3</v>
      </c>
      <c r="G150" s="5">
        <v>1481.0</v>
      </c>
      <c r="H150" s="5">
        <v>1507.2</v>
      </c>
      <c r="I150" s="5">
        <v>1472.5</v>
      </c>
      <c r="J150" s="5">
        <v>1432.9</v>
      </c>
      <c r="K150" s="5">
        <v>1502.4</v>
      </c>
      <c r="L150" s="5">
        <v>1504.3</v>
      </c>
      <c r="M150" s="5">
        <v>1495.04</v>
      </c>
      <c r="N150" s="5">
        <v>2006.45</v>
      </c>
      <c r="O150" s="5">
        <v>1307.0</v>
      </c>
      <c r="P150" s="5">
        <v>1.307264E7</v>
      </c>
      <c r="Q150" s="5">
        <v>302959.0</v>
      </c>
    </row>
    <row r="151">
      <c r="A151" s="6">
        <v>45910.0</v>
      </c>
      <c r="B151" s="4" t="s">
        <v>17</v>
      </c>
      <c r="C151" s="5" t="str">
        <f t="shared" si="1"/>
        <v>Wednesday</v>
      </c>
      <c r="D151" s="5" t="str">
        <f t="shared" si="2"/>
        <v>September</v>
      </c>
      <c r="E151" s="5" t="str">
        <f t="shared" si="3"/>
        <v>2025</v>
      </c>
      <c r="F151" s="5" t="str">
        <f t="shared" si="4"/>
        <v>Q3</v>
      </c>
      <c r="G151" s="5">
        <v>1510.1</v>
      </c>
      <c r="H151" s="5">
        <v>1534.9</v>
      </c>
      <c r="I151" s="5">
        <v>1509.3</v>
      </c>
      <c r="J151" s="5">
        <v>1504.3</v>
      </c>
      <c r="K151" s="5">
        <v>1532.0</v>
      </c>
      <c r="L151" s="5">
        <v>1532.6</v>
      </c>
      <c r="M151" s="5">
        <v>1528.49</v>
      </c>
      <c r="N151" s="5">
        <v>2006.45</v>
      </c>
      <c r="O151" s="5">
        <v>1307.0</v>
      </c>
      <c r="P151" s="5">
        <v>7281071.0</v>
      </c>
      <c r="Q151" s="5">
        <v>209861.0</v>
      </c>
    </row>
    <row r="152">
      <c r="A152" s="6">
        <v>45911.0</v>
      </c>
      <c r="B152" s="4" t="s">
        <v>17</v>
      </c>
      <c r="C152" s="5" t="str">
        <f t="shared" si="1"/>
        <v>Thursday</v>
      </c>
      <c r="D152" s="5" t="str">
        <f t="shared" si="2"/>
        <v>September</v>
      </c>
      <c r="E152" s="5" t="str">
        <f t="shared" si="3"/>
        <v>2025</v>
      </c>
      <c r="F152" s="5" t="str">
        <f t="shared" si="4"/>
        <v>Q3</v>
      </c>
      <c r="G152" s="5">
        <v>1523.9</v>
      </c>
      <c r="H152" s="5">
        <v>1527.5</v>
      </c>
      <c r="I152" s="5">
        <v>1506.5</v>
      </c>
      <c r="J152" s="5">
        <v>1532.6</v>
      </c>
      <c r="K152" s="5">
        <v>1512.2</v>
      </c>
      <c r="L152" s="5">
        <v>1509.7</v>
      </c>
      <c r="M152" s="5">
        <v>1512.35</v>
      </c>
      <c r="N152" s="5">
        <v>2006.45</v>
      </c>
      <c r="O152" s="5">
        <v>1307.0</v>
      </c>
      <c r="P152" s="5">
        <v>8003662.0</v>
      </c>
      <c r="Q152" s="5">
        <v>225605.0</v>
      </c>
    </row>
    <row r="153">
      <c r="A153" s="6">
        <v>45912.0</v>
      </c>
      <c r="B153" s="4" t="s">
        <v>17</v>
      </c>
      <c r="C153" s="5" t="str">
        <f t="shared" si="1"/>
        <v>Friday</v>
      </c>
      <c r="D153" s="5" t="str">
        <f t="shared" si="2"/>
        <v>September</v>
      </c>
      <c r="E153" s="5" t="str">
        <f t="shared" si="3"/>
        <v>2025</v>
      </c>
      <c r="F153" s="5" t="str">
        <f t="shared" si="4"/>
        <v>Q3</v>
      </c>
      <c r="G153" s="5">
        <v>1537.0</v>
      </c>
      <c r="H153" s="5">
        <v>1542.9</v>
      </c>
      <c r="I153" s="5">
        <v>1521.1</v>
      </c>
      <c r="J153" s="5">
        <v>1509.7</v>
      </c>
      <c r="K153" s="5">
        <v>1524.1</v>
      </c>
      <c r="L153" s="5">
        <v>1525.6</v>
      </c>
      <c r="M153" s="5">
        <v>1529.87</v>
      </c>
      <c r="N153" s="5">
        <v>2006.45</v>
      </c>
      <c r="O153" s="5">
        <v>1307.0</v>
      </c>
      <c r="P153" s="5">
        <v>1.2856963E7</v>
      </c>
      <c r="Q153" s="5">
        <v>332492.0</v>
      </c>
    </row>
    <row r="154">
      <c r="A154" s="6">
        <v>45915.0</v>
      </c>
      <c r="B154" s="4" t="s">
        <v>17</v>
      </c>
      <c r="C154" s="5" t="str">
        <f t="shared" si="1"/>
        <v>Monday</v>
      </c>
      <c r="D154" s="5" t="str">
        <f t="shared" si="2"/>
        <v>September</v>
      </c>
      <c r="E154" s="5" t="str">
        <f t="shared" si="3"/>
        <v>2025</v>
      </c>
      <c r="F154" s="5" t="str">
        <f t="shared" si="4"/>
        <v>Q3</v>
      </c>
      <c r="G154" s="5">
        <v>1525.6</v>
      </c>
      <c r="H154" s="5">
        <v>1527.5</v>
      </c>
      <c r="I154" s="5">
        <v>1501.2</v>
      </c>
      <c r="J154" s="5">
        <v>1525.6</v>
      </c>
      <c r="K154" s="5">
        <v>1508.5</v>
      </c>
      <c r="L154" s="5">
        <v>1508.4</v>
      </c>
      <c r="M154" s="5">
        <v>1509.78</v>
      </c>
      <c r="N154" s="5">
        <v>2006.45</v>
      </c>
      <c r="O154" s="5">
        <v>1307.0</v>
      </c>
      <c r="P154" s="5">
        <v>6167414.0</v>
      </c>
      <c r="Q154" s="5">
        <v>173954.0</v>
      </c>
    </row>
    <row r="155">
      <c r="A155" s="6">
        <v>45916.0</v>
      </c>
      <c r="B155" s="4" t="s">
        <v>17</v>
      </c>
      <c r="C155" s="5" t="str">
        <f t="shared" si="1"/>
        <v>Tuesday</v>
      </c>
      <c r="D155" s="5" t="str">
        <f t="shared" si="2"/>
        <v>September</v>
      </c>
      <c r="E155" s="5" t="str">
        <f t="shared" si="3"/>
        <v>2025</v>
      </c>
      <c r="F155" s="5" t="str">
        <f t="shared" si="4"/>
        <v>Q3</v>
      </c>
      <c r="G155" s="5">
        <v>1508.4</v>
      </c>
      <c r="H155" s="5">
        <v>1514.0</v>
      </c>
      <c r="I155" s="5">
        <v>1503.5</v>
      </c>
      <c r="J155" s="5">
        <v>1508.4</v>
      </c>
      <c r="K155" s="5">
        <v>1513.5</v>
      </c>
      <c r="L155" s="5">
        <v>1511.3</v>
      </c>
      <c r="M155" s="5">
        <v>1507.82</v>
      </c>
      <c r="N155" s="5">
        <v>2006.45</v>
      </c>
      <c r="O155" s="5">
        <v>1307.0</v>
      </c>
      <c r="P155" s="5">
        <v>8923112.0</v>
      </c>
      <c r="Q155" s="5">
        <v>202258.0</v>
      </c>
    </row>
    <row r="156">
      <c r="A156" s="6">
        <v>45917.0</v>
      </c>
      <c r="B156" s="4" t="s">
        <v>17</v>
      </c>
      <c r="C156" s="5" t="str">
        <f t="shared" si="1"/>
        <v>Wednesday</v>
      </c>
      <c r="D156" s="5" t="str">
        <f t="shared" si="2"/>
        <v>September</v>
      </c>
      <c r="E156" s="5" t="str">
        <f t="shared" si="3"/>
        <v>2025</v>
      </c>
      <c r="F156" s="5" t="str">
        <f t="shared" si="4"/>
        <v>Q3</v>
      </c>
      <c r="G156" s="5">
        <v>1516.9</v>
      </c>
      <c r="H156" s="5">
        <v>1526.7</v>
      </c>
      <c r="I156" s="5">
        <v>1514.0</v>
      </c>
      <c r="J156" s="5">
        <v>1511.3</v>
      </c>
      <c r="K156" s="5">
        <v>1521.5</v>
      </c>
      <c r="L156" s="5">
        <v>1522.4</v>
      </c>
      <c r="M156" s="5">
        <v>1521.42</v>
      </c>
      <c r="N156" s="5">
        <v>2006.45</v>
      </c>
      <c r="O156" s="5">
        <v>1307.0</v>
      </c>
      <c r="P156" s="5">
        <v>4795698.0</v>
      </c>
      <c r="Q156" s="5">
        <v>137197.0</v>
      </c>
    </row>
    <row r="157">
      <c r="A157" s="6">
        <v>45918.0</v>
      </c>
      <c r="B157" s="4" t="s">
        <v>17</v>
      </c>
      <c r="C157" s="5" t="str">
        <f t="shared" si="1"/>
        <v>Thursday</v>
      </c>
      <c r="D157" s="5" t="str">
        <f t="shared" si="2"/>
        <v>September</v>
      </c>
      <c r="E157" s="5" t="str">
        <f t="shared" si="3"/>
        <v>2025</v>
      </c>
      <c r="F157" s="5" t="str">
        <f t="shared" si="4"/>
        <v>Q3</v>
      </c>
      <c r="G157" s="5">
        <v>1550.0</v>
      </c>
      <c r="H157" s="5">
        <v>1555.0</v>
      </c>
      <c r="I157" s="5">
        <v>1538.5</v>
      </c>
      <c r="J157" s="5">
        <v>1522.4</v>
      </c>
      <c r="K157" s="5">
        <v>1541.1</v>
      </c>
      <c r="L157" s="5">
        <v>1540.6</v>
      </c>
      <c r="M157" s="5">
        <v>1545.13</v>
      </c>
      <c r="N157" s="5">
        <v>2006.45</v>
      </c>
      <c r="O157" s="5">
        <v>1307.0</v>
      </c>
      <c r="P157" s="5">
        <v>9331945.0</v>
      </c>
      <c r="Q157" s="5">
        <v>341731.0</v>
      </c>
    </row>
    <row r="158">
      <c r="A158" s="6">
        <v>45919.0</v>
      </c>
      <c r="B158" s="4" t="s">
        <v>17</v>
      </c>
      <c r="C158" s="5" t="str">
        <f t="shared" si="1"/>
        <v>Friday</v>
      </c>
      <c r="D158" s="5" t="str">
        <f t="shared" si="2"/>
        <v>September</v>
      </c>
      <c r="E158" s="5" t="str">
        <f t="shared" si="3"/>
        <v>2025</v>
      </c>
      <c r="F158" s="5" t="str">
        <f t="shared" si="4"/>
        <v>Q3</v>
      </c>
      <c r="G158" s="5">
        <v>1544.6</v>
      </c>
      <c r="H158" s="5">
        <v>1551.3</v>
      </c>
      <c r="I158" s="5">
        <v>1520.1</v>
      </c>
      <c r="J158" s="5">
        <v>1540.6</v>
      </c>
      <c r="K158" s="5">
        <v>1543.9</v>
      </c>
      <c r="L158" s="5">
        <v>1540.2</v>
      </c>
      <c r="M158" s="5">
        <v>1536.05</v>
      </c>
      <c r="N158" s="5">
        <v>2006.45</v>
      </c>
      <c r="O158" s="5">
        <v>1307.0</v>
      </c>
      <c r="P158" s="5">
        <v>1.2988129E7</v>
      </c>
      <c r="Q158" s="5">
        <v>152059.0</v>
      </c>
    </row>
    <row r="159">
      <c r="A159" s="6">
        <v>45922.0</v>
      </c>
      <c r="B159" s="4" t="s">
        <v>17</v>
      </c>
      <c r="C159" s="5" t="str">
        <f t="shared" si="1"/>
        <v>Monday</v>
      </c>
      <c r="D159" s="5" t="str">
        <f t="shared" si="2"/>
        <v>September</v>
      </c>
      <c r="E159" s="5" t="str">
        <f t="shared" si="3"/>
        <v>2025</v>
      </c>
      <c r="F159" s="5" t="str">
        <f t="shared" si="4"/>
        <v>Q3</v>
      </c>
      <c r="G159" s="5">
        <v>1482.7</v>
      </c>
      <c r="H159" s="5">
        <v>1514.7</v>
      </c>
      <c r="I159" s="5">
        <v>1482.0</v>
      </c>
      <c r="J159" s="5">
        <v>1540.2</v>
      </c>
      <c r="K159" s="5">
        <v>1500.9</v>
      </c>
      <c r="L159" s="5">
        <v>1499.5</v>
      </c>
      <c r="M159" s="5">
        <v>1499.71</v>
      </c>
      <c r="N159" s="5">
        <v>2006.45</v>
      </c>
      <c r="O159" s="5">
        <v>1307.0</v>
      </c>
      <c r="P159" s="5">
        <v>1.5655204E7</v>
      </c>
      <c r="Q159" s="5">
        <v>436891.0</v>
      </c>
    </row>
    <row r="160">
      <c r="A160" s="6">
        <v>45923.0</v>
      </c>
      <c r="B160" s="4" t="s">
        <v>17</v>
      </c>
      <c r="C160" s="5" t="str">
        <f t="shared" si="1"/>
        <v>Tuesday</v>
      </c>
      <c r="D160" s="5" t="str">
        <f t="shared" si="2"/>
        <v>September</v>
      </c>
      <c r="E160" s="5" t="str">
        <f t="shared" si="3"/>
        <v>2025</v>
      </c>
      <c r="F160" s="5" t="str">
        <f t="shared" si="4"/>
        <v>Q3</v>
      </c>
      <c r="G160" s="5">
        <v>1493.0</v>
      </c>
      <c r="H160" s="5">
        <v>1513.0</v>
      </c>
      <c r="I160" s="5">
        <v>1493.0</v>
      </c>
      <c r="J160" s="5">
        <v>1499.5</v>
      </c>
      <c r="K160" s="5">
        <v>1500.6</v>
      </c>
      <c r="L160" s="5">
        <v>1497.5</v>
      </c>
      <c r="M160" s="5">
        <v>1500.6</v>
      </c>
      <c r="N160" s="5">
        <v>2006.45</v>
      </c>
      <c r="O160" s="5">
        <v>1307.0</v>
      </c>
      <c r="P160" s="5">
        <v>9832164.0</v>
      </c>
      <c r="Q160" s="5">
        <v>164451.0</v>
      </c>
    </row>
    <row r="161">
      <c r="A161" s="6">
        <v>45924.0</v>
      </c>
      <c r="B161" s="4" t="s">
        <v>17</v>
      </c>
      <c r="C161" s="5" t="str">
        <f t="shared" si="1"/>
        <v>Wednesday</v>
      </c>
      <c r="D161" s="5" t="str">
        <f t="shared" si="2"/>
        <v>September</v>
      </c>
      <c r="E161" s="5" t="str">
        <f t="shared" si="3"/>
        <v>2025</v>
      </c>
      <c r="F161" s="5" t="str">
        <f t="shared" si="4"/>
        <v>Q3</v>
      </c>
      <c r="G161" s="5">
        <v>1487.2</v>
      </c>
      <c r="H161" s="5">
        <v>1496.7</v>
      </c>
      <c r="I161" s="5">
        <v>1482.7</v>
      </c>
      <c r="J161" s="5">
        <v>1497.5</v>
      </c>
      <c r="K161" s="5">
        <v>1494.9</v>
      </c>
      <c r="L161" s="5">
        <v>1494.6</v>
      </c>
      <c r="M161" s="5">
        <v>1490.99</v>
      </c>
      <c r="N161" s="5">
        <v>2006.45</v>
      </c>
      <c r="O161" s="5">
        <v>1307.0</v>
      </c>
      <c r="P161" s="5">
        <v>4937004.0</v>
      </c>
      <c r="Q161" s="5">
        <v>143787.0</v>
      </c>
    </row>
    <row r="162">
      <c r="A162" s="6">
        <v>45925.0</v>
      </c>
      <c r="B162" s="4" t="s">
        <v>17</v>
      </c>
      <c r="C162" s="5" t="str">
        <f t="shared" si="1"/>
        <v>Thursday</v>
      </c>
      <c r="D162" s="5" t="str">
        <f t="shared" si="2"/>
        <v>September</v>
      </c>
      <c r="E162" s="5" t="str">
        <f t="shared" si="3"/>
        <v>2025</v>
      </c>
      <c r="F162" s="5" t="str">
        <f t="shared" si="4"/>
        <v>Q3</v>
      </c>
      <c r="G162" s="5">
        <v>1489.0</v>
      </c>
      <c r="H162" s="5">
        <v>1502.7</v>
      </c>
      <c r="I162" s="5">
        <v>1476.5</v>
      </c>
      <c r="J162" s="5">
        <v>1494.6</v>
      </c>
      <c r="K162" s="5">
        <v>1491.2</v>
      </c>
      <c r="L162" s="5">
        <v>1484.8</v>
      </c>
      <c r="M162" s="5">
        <v>1487.92</v>
      </c>
      <c r="N162" s="5">
        <v>2006.45</v>
      </c>
      <c r="O162" s="5">
        <v>1307.0</v>
      </c>
      <c r="P162" s="5">
        <v>9491867.0</v>
      </c>
      <c r="Q162" s="5">
        <v>185456.0</v>
      </c>
    </row>
    <row r="163">
      <c r="A163" s="6">
        <v>45926.0</v>
      </c>
      <c r="B163" s="4" t="s">
        <v>17</v>
      </c>
      <c r="C163" s="5" t="str">
        <f t="shared" si="1"/>
        <v>Friday</v>
      </c>
      <c r="D163" s="5" t="str">
        <f t="shared" si="2"/>
        <v>September</v>
      </c>
      <c r="E163" s="5" t="str">
        <f t="shared" si="3"/>
        <v>2025</v>
      </c>
      <c r="F163" s="5" t="str">
        <f t="shared" si="4"/>
        <v>Q3</v>
      </c>
      <c r="G163" s="5">
        <v>1475.0</v>
      </c>
      <c r="H163" s="5">
        <v>1478.7</v>
      </c>
      <c r="I163" s="5">
        <v>1441.2</v>
      </c>
      <c r="J163" s="5">
        <v>1484.8</v>
      </c>
      <c r="K163" s="5">
        <v>1452.2</v>
      </c>
      <c r="L163" s="5">
        <v>1448.9</v>
      </c>
      <c r="M163" s="5">
        <v>1457.7</v>
      </c>
      <c r="N163" s="5">
        <v>2006.45</v>
      </c>
      <c r="O163" s="5">
        <v>1307.0</v>
      </c>
      <c r="P163" s="5">
        <v>8597058.0</v>
      </c>
      <c r="Q163" s="5">
        <v>445150.0</v>
      </c>
    </row>
    <row r="164">
      <c r="A164" s="6">
        <v>45929.0</v>
      </c>
      <c r="B164" s="4" t="s">
        <v>17</v>
      </c>
      <c r="C164" s="5" t="str">
        <f t="shared" si="1"/>
        <v>Monday</v>
      </c>
      <c r="D164" s="5" t="str">
        <f t="shared" si="2"/>
        <v>September</v>
      </c>
      <c r="E164" s="5" t="str">
        <f t="shared" si="3"/>
        <v>2025</v>
      </c>
      <c r="F164" s="5" t="str">
        <f t="shared" si="4"/>
        <v>Q3</v>
      </c>
      <c r="G164" s="5">
        <v>1460.0</v>
      </c>
      <c r="H164" s="5">
        <v>1465.0</v>
      </c>
      <c r="I164" s="5">
        <v>1436.5</v>
      </c>
      <c r="J164" s="5">
        <v>1448.9</v>
      </c>
      <c r="K164" s="5">
        <v>1449.2</v>
      </c>
      <c r="L164" s="5">
        <v>1441.8</v>
      </c>
      <c r="M164" s="5">
        <v>1447.06</v>
      </c>
      <c r="N164" s="5">
        <v>2006.45</v>
      </c>
      <c r="O164" s="5">
        <v>1307.0</v>
      </c>
      <c r="P164" s="5">
        <v>1.0513117E7</v>
      </c>
      <c r="Q164" s="5">
        <v>181113.0</v>
      </c>
    </row>
    <row r="165">
      <c r="A165" s="6">
        <v>45930.0</v>
      </c>
      <c r="B165" s="4" t="s">
        <v>17</v>
      </c>
      <c r="C165" s="5" t="str">
        <f t="shared" si="1"/>
        <v>Tuesday</v>
      </c>
      <c r="D165" s="5" t="str">
        <f t="shared" si="2"/>
        <v>September</v>
      </c>
      <c r="E165" s="5" t="str">
        <f t="shared" si="3"/>
        <v>2025</v>
      </c>
      <c r="F165" s="5" t="str">
        <f t="shared" si="4"/>
        <v>Q3</v>
      </c>
      <c r="G165" s="5">
        <v>1443.0</v>
      </c>
      <c r="H165" s="5">
        <v>1452.2</v>
      </c>
      <c r="I165" s="5">
        <v>1438.1</v>
      </c>
      <c r="J165" s="5">
        <v>1441.8</v>
      </c>
      <c r="K165" s="5">
        <v>1442.6</v>
      </c>
      <c r="L165" s="5">
        <v>1441.8</v>
      </c>
      <c r="M165" s="5">
        <v>1443.52</v>
      </c>
      <c r="N165" s="5">
        <v>2006.45</v>
      </c>
      <c r="O165" s="5">
        <v>1307.0</v>
      </c>
      <c r="P165" s="5">
        <v>7556305.0</v>
      </c>
      <c r="Q165" s="5">
        <v>247554.0</v>
      </c>
    </row>
    <row r="166">
      <c r="A166" s="3">
        <v>45931.0</v>
      </c>
      <c r="B166" s="4" t="s">
        <v>17</v>
      </c>
      <c r="C166" s="5" t="str">
        <f t="shared" si="1"/>
        <v>Wednesday</v>
      </c>
      <c r="D166" s="5" t="str">
        <f t="shared" si="2"/>
        <v>October</v>
      </c>
      <c r="E166" s="5" t="str">
        <f t="shared" si="3"/>
        <v>2025</v>
      </c>
      <c r="F166" s="5" t="str">
        <f t="shared" si="4"/>
        <v>Q4</v>
      </c>
      <c r="G166" s="5">
        <v>1446.0</v>
      </c>
      <c r="H166" s="5">
        <v>1449.5</v>
      </c>
      <c r="I166" s="5">
        <v>1427.4</v>
      </c>
      <c r="J166" s="5">
        <v>1441.8</v>
      </c>
      <c r="K166" s="5">
        <v>1447.9</v>
      </c>
      <c r="L166" s="5">
        <v>1445.8</v>
      </c>
      <c r="M166" s="5">
        <v>1439.54</v>
      </c>
      <c r="N166" s="5">
        <v>2006.45</v>
      </c>
      <c r="O166" s="5">
        <v>1307.0</v>
      </c>
      <c r="P166" s="5">
        <v>6250692.0</v>
      </c>
      <c r="Q166" s="5">
        <v>194062.0</v>
      </c>
    </row>
    <row r="167">
      <c r="A167" s="3">
        <v>45933.0</v>
      </c>
      <c r="B167" s="4" t="s">
        <v>17</v>
      </c>
      <c r="C167" s="5" t="str">
        <f t="shared" si="1"/>
        <v>Friday</v>
      </c>
      <c r="D167" s="5" t="str">
        <f t="shared" si="2"/>
        <v>October</v>
      </c>
      <c r="E167" s="5" t="str">
        <f t="shared" si="3"/>
        <v>2025</v>
      </c>
      <c r="F167" s="5" t="str">
        <f t="shared" si="4"/>
        <v>Q4</v>
      </c>
      <c r="G167" s="5">
        <v>1439.0</v>
      </c>
      <c r="H167" s="5">
        <v>1448.3</v>
      </c>
      <c r="I167" s="5">
        <v>1433.2</v>
      </c>
      <c r="J167" s="5">
        <v>1445.8</v>
      </c>
      <c r="K167" s="5">
        <v>1445.5</v>
      </c>
      <c r="L167" s="5">
        <v>1446.6</v>
      </c>
      <c r="M167" s="5">
        <v>1442.27</v>
      </c>
      <c r="N167" s="5">
        <v>2006.45</v>
      </c>
      <c r="O167" s="5">
        <v>1307.0</v>
      </c>
      <c r="P167" s="5">
        <v>6877533.0</v>
      </c>
      <c r="Q167" s="5">
        <v>156026.0</v>
      </c>
    </row>
    <row r="168">
      <c r="A168" s="3">
        <v>45936.0</v>
      </c>
      <c r="B168" s="4" t="s">
        <v>17</v>
      </c>
      <c r="C168" s="5" t="str">
        <f t="shared" si="1"/>
        <v>Monday</v>
      </c>
      <c r="D168" s="5" t="str">
        <f t="shared" si="2"/>
        <v>October</v>
      </c>
      <c r="E168" s="5" t="str">
        <f t="shared" si="3"/>
        <v>2025</v>
      </c>
      <c r="F168" s="5" t="str">
        <f t="shared" si="4"/>
        <v>Q4</v>
      </c>
      <c r="G168" s="5">
        <v>1446.6</v>
      </c>
      <c r="H168" s="5">
        <v>1478.8</v>
      </c>
      <c r="I168" s="5">
        <v>1442.3</v>
      </c>
      <c r="J168" s="5">
        <v>1446.6</v>
      </c>
      <c r="K168" s="5">
        <v>1474.9</v>
      </c>
      <c r="L168" s="5">
        <v>1476.0</v>
      </c>
      <c r="M168" s="5">
        <v>1465.66</v>
      </c>
      <c r="N168" s="5">
        <v>2006.45</v>
      </c>
      <c r="O168" s="5">
        <v>1307.0</v>
      </c>
      <c r="P168" s="5">
        <v>4630590.0</v>
      </c>
      <c r="Q168" s="5">
        <v>105537.0</v>
      </c>
    </row>
    <row r="169">
      <c r="A169" s="3">
        <v>45937.0</v>
      </c>
      <c r="B169" s="4" t="s">
        <v>17</v>
      </c>
      <c r="C169" s="5" t="str">
        <f t="shared" si="1"/>
        <v>Tuesday</v>
      </c>
      <c r="D169" s="5" t="str">
        <f t="shared" si="2"/>
        <v>October</v>
      </c>
      <c r="E169" s="5" t="str">
        <f t="shared" si="3"/>
        <v>2025</v>
      </c>
      <c r="F169" s="5" t="str">
        <f t="shared" si="4"/>
        <v>Q4</v>
      </c>
      <c r="G169" s="5">
        <v>1477.7</v>
      </c>
      <c r="H169" s="5">
        <v>1482.9</v>
      </c>
      <c r="I169" s="5">
        <v>1454.0</v>
      </c>
      <c r="J169" s="5">
        <v>1476.0</v>
      </c>
      <c r="K169" s="5">
        <v>1458.1</v>
      </c>
      <c r="L169" s="5">
        <v>1458.5</v>
      </c>
      <c r="M169" s="5">
        <v>1463.53</v>
      </c>
      <c r="N169" s="5">
        <v>2006.45</v>
      </c>
      <c r="O169" s="5">
        <v>1307.0</v>
      </c>
      <c r="P169" s="5">
        <v>5570320.0</v>
      </c>
      <c r="Q169" s="5">
        <v>171449.0</v>
      </c>
    </row>
    <row r="170">
      <c r="A170" s="3">
        <v>45938.0</v>
      </c>
      <c r="B170" s="4" t="s">
        <v>17</v>
      </c>
      <c r="C170" s="5" t="str">
        <f t="shared" si="1"/>
        <v>Wednesday</v>
      </c>
      <c r="D170" s="5" t="str">
        <f t="shared" si="2"/>
        <v>October</v>
      </c>
      <c r="E170" s="5" t="str">
        <f t="shared" si="3"/>
        <v>2025</v>
      </c>
      <c r="F170" s="5" t="str">
        <f t="shared" si="4"/>
        <v>Q4</v>
      </c>
      <c r="G170" s="5">
        <v>1457.0</v>
      </c>
      <c r="H170" s="5">
        <v>1498.0</v>
      </c>
      <c r="I170" s="5">
        <v>1455.0</v>
      </c>
      <c r="J170" s="5">
        <v>1458.5</v>
      </c>
      <c r="K170" s="5">
        <v>1492.0</v>
      </c>
      <c r="L170" s="5">
        <v>1495.0</v>
      </c>
      <c r="M170" s="5">
        <v>1489.22</v>
      </c>
      <c r="N170" s="5">
        <v>2006.45</v>
      </c>
      <c r="O170" s="5">
        <v>1307.0</v>
      </c>
      <c r="P170" s="5">
        <v>4657192.0</v>
      </c>
      <c r="Q170" s="5">
        <v>125936.0</v>
      </c>
    </row>
    <row r="171">
      <c r="A171" s="3">
        <v>45939.0</v>
      </c>
      <c r="B171" s="4" t="s">
        <v>17</v>
      </c>
      <c r="C171" s="5" t="str">
        <f t="shared" si="1"/>
        <v>Thursday</v>
      </c>
      <c r="D171" s="5" t="str">
        <f t="shared" si="2"/>
        <v>October</v>
      </c>
      <c r="E171" s="5" t="str">
        <f t="shared" si="3"/>
        <v>2025</v>
      </c>
      <c r="F171" s="5" t="str">
        <f t="shared" si="4"/>
        <v>Q4</v>
      </c>
      <c r="G171" s="5">
        <v>1502.0</v>
      </c>
      <c r="H171" s="5">
        <v>1514.0</v>
      </c>
      <c r="I171" s="5">
        <v>1487.0</v>
      </c>
      <c r="J171" s="5">
        <v>1495.0</v>
      </c>
      <c r="K171" s="5">
        <v>1509.7</v>
      </c>
      <c r="L171" s="5">
        <v>1509.3</v>
      </c>
      <c r="M171" s="5">
        <v>1504.17</v>
      </c>
      <c r="N171" s="5">
        <v>2006.45</v>
      </c>
      <c r="O171" s="5">
        <v>1307.0</v>
      </c>
      <c r="P171" s="5">
        <v>7028753.0</v>
      </c>
      <c r="Q171" s="5">
        <v>177885.0</v>
      </c>
    </row>
    <row r="172">
      <c r="A172" s="6">
        <v>45940.0</v>
      </c>
      <c r="B172" s="4" t="s">
        <v>17</v>
      </c>
      <c r="C172" s="5" t="str">
        <f t="shared" si="1"/>
        <v>Friday</v>
      </c>
      <c r="D172" s="5" t="str">
        <f t="shared" si="2"/>
        <v>October</v>
      </c>
      <c r="E172" s="5" t="str">
        <f t="shared" si="3"/>
        <v>2025</v>
      </c>
      <c r="F172" s="5" t="str">
        <f t="shared" si="4"/>
        <v>Q4</v>
      </c>
      <c r="G172" s="5">
        <v>1510.0</v>
      </c>
      <c r="H172" s="5">
        <v>1521.7</v>
      </c>
      <c r="I172" s="5">
        <v>1498.8</v>
      </c>
      <c r="J172" s="5">
        <v>1509.3</v>
      </c>
      <c r="K172" s="5">
        <v>1511.9</v>
      </c>
      <c r="L172" s="5">
        <v>1514.9</v>
      </c>
      <c r="M172" s="5">
        <v>1513.91</v>
      </c>
      <c r="N172" s="5">
        <v>2006.45</v>
      </c>
      <c r="O172" s="5">
        <v>1307.0</v>
      </c>
      <c r="P172" s="5">
        <v>3738353.0</v>
      </c>
      <c r="Q172" s="5">
        <v>112569.0</v>
      </c>
    </row>
    <row r="173">
      <c r="A173" s="6">
        <v>45943.0</v>
      </c>
      <c r="B173" s="4" t="s">
        <v>17</v>
      </c>
      <c r="C173" s="5" t="str">
        <f t="shared" si="1"/>
        <v>Monday</v>
      </c>
      <c r="D173" s="5" t="str">
        <f t="shared" si="2"/>
        <v>October</v>
      </c>
      <c r="E173" s="5" t="str">
        <f t="shared" si="3"/>
        <v>2025</v>
      </c>
      <c r="F173" s="5" t="str">
        <f t="shared" si="4"/>
        <v>Q4</v>
      </c>
      <c r="G173" s="5">
        <v>1497.0</v>
      </c>
      <c r="H173" s="5">
        <v>1504.7</v>
      </c>
      <c r="I173" s="5">
        <v>1483.4</v>
      </c>
      <c r="J173" s="5">
        <v>1514.9</v>
      </c>
      <c r="K173" s="5">
        <v>1492.4</v>
      </c>
      <c r="L173" s="5">
        <v>1493.2</v>
      </c>
      <c r="M173" s="5">
        <v>1492.35</v>
      </c>
      <c r="N173" s="5">
        <v>2006.45</v>
      </c>
      <c r="O173" s="5">
        <v>1307.0</v>
      </c>
      <c r="P173" s="5">
        <v>5859355.0</v>
      </c>
      <c r="Q173" s="5">
        <v>144645.0</v>
      </c>
    </row>
    <row r="174">
      <c r="A174" s="6">
        <v>45944.0</v>
      </c>
      <c r="B174" s="4" t="s">
        <v>17</v>
      </c>
      <c r="C174" s="5" t="str">
        <f t="shared" si="1"/>
        <v>Tuesday</v>
      </c>
      <c r="D174" s="5" t="str">
        <f t="shared" si="2"/>
        <v>October</v>
      </c>
      <c r="E174" s="5" t="str">
        <f t="shared" si="3"/>
        <v>2025</v>
      </c>
      <c r="F174" s="5" t="str">
        <f t="shared" si="4"/>
        <v>Q4</v>
      </c>
      <c r="G174" s="5">
        <v>1499.0</v>
      </c>
      <c r="H174" s="5">
        <v>1514.4</v>
      </c>
      <c r="I174" s="5">
        <v>1486.5</v>
      </c>
      <c r="J174" s="5">
        <v>1493.2</v>
      </c>
      <c r="K174" s="5">
        <v>1488.0</v>
      </c>
      <c r="L174" s="5">
        <v>1489.9</v>
      </c>
      <c r="M174" s="5">
        <v>1494.67</v>
      </c>
      <c r="N174" s="5">
        <v>2006.45</v>
      </c>
      <c r="O174" s="5">
        <v>1307.0</v>
      </c>
      <c r="P174" s="5">
        <v>5600789.0</v>
      </c>
      <c r="Q174" s="5">
        <v>136364.0</v>
      </c>
    </row>
    <row r="175">
      <c r="A175" s="6">
        <v>45945.0</v>
      </c>
      <c r="B175" s="4" t="s">
        <v>17</v>
      </c>
      <c r="C175" s="5" t="str">
        <f t="shared" si="1"/>
        <v>Wednesday</v>
      </c>
      <c r="D175" s="5" t="str">
        <f t="shared" si="2"/>
        <v>October</v>
      </c>
      <c r="E175" s="5" t="str">
        <f t="shared" si="3"/>
        <v>2025</v>
      </c>
      <c r="F175" s="5" t="str">
        <f t="shared" si="4"/>
        <v>Q4</v>
      </c>
      <c r="G175" s="5">
        <v>1483.9</v>
      </c>
      <c r="H175" s="5">
        <v>1488.6</v>
      </c>
      <c r="I175" s="5">
        <v>1467.5</v>
      </c>
      <c r="J175" s="5">
        <v>1489.9</v>
      </c>
      <c r="K175" s="5">
        <v>1474.4</v>
      </c>
      <c r="L175" s="5">
        <v>1474.4</v>
      </c>
      <c r="M175" s="5">
        <v>1475.22</v>
      </c>
      <c r="N175" s="5">
        <v>2006.45</v>
      </c>
      <c r="O175" s="5">
        <v>1307.0</v>
      </c>
      <c r="P175" s="5">
        <v>6986098.0</v>
      </c>
      <c r="Q175" s="5">
        <v>164747.0</v>
      </c>
    </row>
    <row r="176">
      <c r="A176" s="6">
        <v>45946.0</v>
      </c>
      <c r="B176" s="4" t="s">
        <v>17</v>
      </c>
      <c r="C176" s="5" t="str">
        <f t="shared" si="1"/>
        <v>Thursday</v>
      </c>
      <c r="D176" s="5" t="str">
        <f t="shared" si="2"/>
        <v>October</v>
      </c>
      <c r="E176" s="5" t="str">
        <f t="shared" si="3"/>
        <v>2025</v>
      </c>
      <c r="F176" s="5" t="str">
        <f t="shared" si="4"/>
        <v>Q4</v>
      </c>
      <c r="G176" s="5">
        <v>1473.9</v>
      </c>
      <c r="H176" s="5">
        <v>1474.5</v>
      </c>
      <c r="I176" s="5">
        <v>1460.5</v>
      </c>
      <c r="J176" s="5">
        <v>1474.4</v>
      </c>
      <c r="K176" s="5">
        <v>1470.9</v>
      </c>
      <c r="L176" s="5">
        <v>1471.5</v>
      </c>
      <c r="M176" s="5">
        <v>1468.35</v>
      </c>
      <c r="N176" s="5">
        <v>2006.45</v>
      </c>
      <c r="O176" s="5">
        <v>1307.0</v>
      </c>
      <c r="P176" s="5">
        <v>8005748.0</v>
      </c>
      <c r="Q176" s="5">
        <v>178279.0</v>
      </c>
    </row>
    <row r="177">
      <c r="A177" s="6">
        <v>45947.0</v>
      </c>
      <c r="B177" s="4" t="s">
        <v>17</v>
      </c>
      <c r="C177" s="5" t="str">
        <f t="shared" si="1"/>
        <v>Friday</v>
      </c>
      <c r="D177" s="5" t="str">
        <f t="shared" si="2"/>
        <v>October</v>
      </c>
      <c r="E177" s="5" t="str">
        <f t="shared" si="3"/>
        <v>2025</v>
      </c>
      <c r="F177" s="5" t="str">
        <f t="shared" si="4"/>
        <v>Q4</v>
      </c>
      <c r="G177" s="5">
        <v>1454.9</v>
      </c>
      <c r="H177" s="5">
        <v>1458.4</v>
      </c>
      <c r="I177" s="5">
        <v>1434.0</v>
      </c>
      <c r="J177" s="5">
        <v>1471.5</v>
      </c>
      <c r="K177" s="5">
        <v>1440.9</v>
      </c>
      <c r="L177" s="5">
        <v>1441.1</v>
      </c>
      <c r="M177" s="5">
        <v>1444.15</v>
      </c>
      <c r="N177" s="5">
        <v>2006.45</v>
      </c>
      <c r="O177" s="5">
        <v>1307.0</v>
      </c>
      <c r="P177" s="5">
        <v>1.6959378E7</v>
      </c>
      <c r="Q177" s="5">
        <v>408253.0</v>
      </c>
    </row>
    <row r="178">
      <c r="A178" s="6">
        <v>45950.0</v>
      </c>
      <c r="B178" s="4" t="s">
        <v>17</v>
      </c>
      <c r="C178" s="5" t="str">
        <f t="shared" si="1"/>
        <v>Monday</v>
      </c>
      <c r="D178" s="5" t="str">
        <f t="shared" si="2"/>
        <v>October</v>
      </c>
      <c r="E178" s="5" t="str">
        <f t="shared" si="3"/>
        <v>2025</v>
      </c>
      <c r="F178" s="5" t="str">
        <f t="shared" si="4"/>
        <v>Q4</v>
      </c>
      <c r="G178" s="5">
        <v>1453.7</v>
      </c>
      <c r="H178" s="5">
        <v>1467.0</v>
      </c>
      <c r="I178" s="5">
        <v>1450.0</v>
      </c>
      <c r="J178" s="5">
        <v>1441.1</v>
      </c>
      <c r="K178" s="5">
        <v>1462.7</v>
      </c>
      <c r="L178" s="5">
        <v>1460.9</v>
      </c>
      <c r="M178" s="5">
        <v>1460.15</v>
      </c>
      <c r="N178" s="5">
        <v>2006.45</v>
      </c>
      <c r="O178" s="5">
        <v>1307.0</v>
      </c>
      <c r="P178" s="5">
        <v>6994246.0</v>
      </c>
      <c r="Q178" s="5">
        <v>218283.0</v>
      </c>
    </row>
    <row r="179">
      <c r="A179" s="6">
        <v>45951.0</v>
      </c>
      <c r="B179" s="4" t="s">
        <v>17</v>
      </c>
      <c r="C179" s="5" t="str">
        <f t="shared" si="1"/>
        <v>Tuesday</v>
      </c>
      <c r="D179" s="5" t="str">
        <f t="shared" si="2"/>
        <v>October</v>
      </c>
      <c r="E179" s="5" t="str">
        <f t="shared" si="3"/>
        <v>2025</v>
      </c>
      <c r="F179" s="5" t="str">
        <f t="shared" si="4"/>
        <v>Q4</v>
      </c>
      <c r="G179" s="5">
        <v>1478.0</v>
      </c>
      <c r="H179" s="5">
        <v>1486.0</v>
      </c>
      <c r="I179" s="5">
        <v>1470.0</v>
      </c>
      <c r="J179" s="5">
        <v>1460.9</v>
      </c>
      <c r="K179" s="5">
        <v>1471.0</v>
      </c>
      <c r="L179" s="5">
        <v>1472.4</v>
      </c>
      <c r="M179" s="5">
        <v>1476.04</v>
      </c>
      <c r="N179" s="5">
        <v>2006.45</v>
      </c>
      <c r="O179" s="5">
        <v>1307.0</v>
      </c>
      <c r="P179" s="5">
        <v>1698704.0</v>
      </c>
      <c r="Q179" s="5">
        <v>42723.0</v>
      </c>
    </row>
    <row r="180">
      <c r="A180" s="6">
        <v>45953.0</v>
      </c>
      <c r="B180" s="4" t="s">
        <v>17</v>
      </c>
      <c r="C180" s="5" t="str">
        <f t="shared" si="1"/>
        <v>Thursday</v>
      </c>
      <c r="D180" s="5" t="str">
        <f t="shared" si="2"/>
        <v>October</v>
      </c>
      <c r="E180" s="5" t="str">
        <f t="shared" si="3"/>
        <v>2025</v>
      </c>
      <c r="F180" s="5" t="str">
        <f t="shared" si="4"/>
        <v>Q4</v>
      </c>
      <c r="G180" s="5">
        <v>1510.0</v>
      </c>
      <c r="H180" s="5">
        <v>1546.0</v>
      </c>
      <c r="I180" s="5">
        <v>1506.0</v>
      </c>
      <c r="J180" s="5">
        <v>1472.4</v>
      </c>
      <c r="K180" s="5">
        <v>1525.0</v>
      </c>
      <c r="L180" s="5">
        <v>1528.5</v>
      </c>
      <c r="M180" s="5">
        <v>1530.64</v>
      </c>
      <c r="N180" s="5">
        <v>2006.45</v>
      </c>
      <c r="O180" s="5">
        <v>1307.0</v>
      </c>
      <c r="P180" s="5">
        <v>2.0358624E7</v>
      </c>
      <c r="Q180" s="5">
        <v>458468.0</v>
      </c>
    </row>
    <row r="181">
      <c r="A181" s="6">
        <v>45954.0</v>
      </c>
      <c r="B181" s="4" t="s">
        <v>17</v>
      </c>
      <c r="C181" s="5" t="str">
        <f t="shared" si="1"/>
        <v>Friday</v>
      </c>
      <c r="D181" s="5" t="str">
        <f t="shared" si="2"/>
        <v>October</v>
      </c>
      <c r="E181" s="5" t="str">
        <f t="shared" si="3"/>
        <v>2025</v>
      </c>
      <c r="F181" s="5" t="str">
        <f t="shared" si="4"/>
        <v>Q4</v>
      </c>
      <c r="G181" s="5">
        <v>1539.5</v>
      </c>
      <c r="H181" s="5">
        <v>1543.0</v>
      </c>
      <c r="I181" s="5">
        <v>1518.0</v>
      </c>
      <c r="J181" s="5">
        <v>1528.5</v>
      </c>
      <c r="K181" s="5">
        <v>1523.9</v>
      </c>
      <c r="L181" s="5">
        <v>1525.4</v>
      </c>
      <c r="M181" s="5">
        <v>1525.75</v>
      </c>
      <c r="N181" s="5">
        <v>2006.45</v>
      </c>
      <c r="O181" s="5">
        <v>1307.0</v>
      </c>
      <c r="P181" s="5">
        <v>8652257.0</v>
      </c>
      <c r="Q181" s="5">
        <v>217512.0</v>
      </c>
    </row>
    <row r="182">
      <c r="A182" s="6">
        <v>45957.0</v>
      </c>
      <c r="B182" s="4" t="s">
        <v>17</v>
      </c>
      <c r="C182" s="5" t="str">
        <f t="shared" si="1"/>
        <v>Monday</v>
      </c>
      <c r="D182" s="5" t="str">
        <f t="shared" si="2"/>
        <v>October</v>
      </c>
      <c r="E182" s="5" t="str">
        <f t="shared" si="3"/>
        <v>2025</v>
      </c>
      <c r="F182" s="5" t="str">
        <f t="shared" si="4"/>
        <v>Q4</v>
      </c>
      <c r="G182" s="5">
        <v>1510.0</v>
      </c>
      <c r="H182" s="5">
        <v>1515.3</v>
      </c>
      <c r="I182" s="5">
        <v>1498.1</v>
      </c>
      <c r="J182" s="5">
        <v>1525.4</v>
      </c>
      <c r="K182" s="5">
        <v>1504.9</v>
      </c>
      <c r="L182" s="5">
        <v>1504.5</v>
      </c>
      <c r="M182" s="5">
        <v>1506.5</v>
      </c>
      <c r="N182" s="5">
        <v>2006.45</v>
      </c>
      <c r="O182" s="5">
        <v>1307.0</v>
      </c>
      <c r="P182" s="5">
        <v>7273211.0</v>
      </c>
      <c r="Q182" s="5">
        <v>131339.0</v>
      </c>
    </row>
    <row r="183">
      <c r="A183" s="6">
        <v>45958.0</v>
      </c>
      <c r="B183" s="4" t="s">
        <v>17</v>
      </c>
      <c r="C183" s="5" t="str">
        <f t="shared" si="1"/>
        <v>Tuesday</v>
      </c>
      <c r="D183" s="5" t="str">
        <f t="shared" si="2"/>
        <v>October</v>
      </c>
      <c r="E183" s="5" t="str">
        <f t="shared" si="3"/>
        <v>2025</v>
      </c>
      <c r="F183" s="5" t="str">
        <f t="shared" si="4"/>
        <v>Q4</v>
      </c>
      <c r="G183" s="5">
        <v>1499.7</v>
      </c>
      <c r="H183" s="5">
        <v>1506.5</v>
      </c>
      <c r="I183" s="5">
        <v>1490.5</v>
      </c>
      <c r="J183" s="5">
        <v>1504.5</v>
      </c>
      <c r="K183" s="5">
        <v>1502.2</v>
      </c>
      <c r="L183" s="5">
        <v>1500.2</v>
      </c>
      <c r="M183" s="5">
        <v>1497.66</v>
      </c>
      <c r="N183" s="5">
        <v>2006.45</v>
      </c>
      <c r="O183" s="5">
        <v>1307.0</v>
      </c>
      <c r="P183" s="5">
        <v>8211019.0</v>
      </c>
      <c r="Q183" s="5">
        <v>185479.0</v>
      </c>
    </row>
    <row r="184">
      <c r="A184" s="6">
        <v>45959.0</v>
      </c>
      <c r="B184" s="4" t="s">
        <v>17</v>
      </c>
      <c r="C184" s="5" t="str">
        <f t="shared" si="1"/>
        <v>Wednesday</v>
      </c>
      <c r="D184" s="5" t="str">
        <f t="shared" si="2"/>
        <v>October</v>
      </c>
      <c r="E184" s="5" t="str">
        <f t="shared" si="3"/>
        <v>2025</v>
      </c>
      <c r="F184" s="5" t="str">
        <f t="shared" si="4"/>
        <v>Q4</v>
      </c>
      <c r="G184" s="5">
        <v>1500.2</v>
      </c>
      <c r="H184" s="5">
        <v>1520.2</v>
      </c>
      <c r="I184" s="5">
        <v>1496.9</v>
      </c>
      <c r="J184" s="5">
        <v>1500.2</v>
      </c>
      <c r="K184" s="5">
        <v>1511.5</v>
      </c>
      <c r="L184" s="5">
        <v>1510.4</v>
      </c>
      <c r="M184" s="5">
        <v>1510.57</v>
      </c>
      <c r="N184" s="5">
        <v>2006.45</v>
      </c>
      <c r="O184" s="5">
        <v>1307.0</v>
      </c>
      <c r="P184" s="5">
        <v>4884976.0</v>
      </c>
      <c r="Q184" s="5">
        <v>177757.0</v>
      </c>
    </row>
    <row r="185">
      <c r="A185" s="6">
        <v>45960.0</v>
      </c>
      <c r="B185" s="4" t="s">
        <v>17</v>
      </c>
      <c r="C185" s="5" t="str">
        <f t="shared" si="1"/>
        <v>Thursday</v>
      </c>
      <c r="D185" s="5" t="str">
        <f t="shared" si="2"/>
        <v>October</v>
      </c>
      <c r="E185" s="5" t="str">
        <f t="shared" si="3"/>
        <v>2025</v>
      </c>
      <c r="F185" s="5" t="str">
        <f t="shared" si="4"/>
        <v>Q4</v>
      </c>
      <c r="G185" s="5">
        <v>1507.0</v>
      </c>
      <c r="H185" s="5">
        <v>1508.2</v>
      </c>
      <c r="I185" s="5">
        <v>1489.1</v>
      </c>
      <c r="J185" s="5">
        <v>1510.4</v>
      </c>
      <c r="K185" s="5">
        <v>1495.0</v>
      </c>
      <c r="L185" s="5">
        <v>1493.8</v>
      </c>
      <c r="M185" s="5">
        <v>1494.92</v>
      </c>
      <c r="N185" s="5">
        <v>2006.45</v>
      </c>
      <c r="O185" s="5">
        <v>1307.0</v>
      </c>
      <c r="P185" s="5">
        <v>5608867.0</v>
      </c>
      <c r="Q185" s="5">
        <v>158047.0</v>
      </c>
    </row>
    <row r="186">
      <c r="A186" s="6">
        <v>45961.0</v>
      </c>
      <c r="B186" s="4" t="s">
        <v>17</v>
      </c>
      <c r="C186" s="5" t="str">
        <f t="shared" si="1"/>
        <v>Friday</v>
      </c>
      <c r="D186" s="5" t="str">
        <f t="shared" si="2"/>
        <v>October</v>
      </c>
      <c r="E186" s="5" t="str">
        <f t="shared" si="3"/>
        <v>2025</v>
      </c>
      <c r="F186" s="5" t="str">
        <f t="shared" si="4"/>
        <v>Q4</v>
      </c>
      <c r="G186" s="5">
        <v>1490.0</v>
      </c>
      <c r="H186" s="5">
        <v>1497.1</v>
      </c>
      <c r="I186" s="5">
        <v>1480.7</v>
      </c>
      <c r="J186" s="5">
        <v>1493.8</v>
      </c>
      <c r="K186" s="5">
        <v>1481.9</v>
      </c>
      <c r="L186" s="5">
        <v>1482.3</v>
      </c>
      <c r="M186" s="5">
        <v>1485.71</v>
      </c>
      <c r="N186" s="5">
        <v>2006.45</v>
      </c>
      <c r="O186" s="5">
        <v>1307.0</v>
      </c>
      <c r="P186" s="5">
        <v>4819814.0</v>
      </c>
      <c r="Q186" s="5">
        <v>185234.0</v>
      </c>
    </row>
    <row r="187">
      <c r="A187" s="3">
        <v>45964.0</v>
      </c>
      <c r="B187" s="4" t="s">
        <v>17</v>
      </c>
      <c r="C187" s="5" t="str">
        <f t="shared" si="1"/>
        <v>Monday</v>
      </c>
      <c r="D187" s="5" t="str">
        <f t="shared" si="2"/>
        <v>November</v>
      </c>
      <c r="E187" s="5" t="str">
        <f t="shared" si="3"/>
        <v>2025</v>
      </c>
      <c r="F187" s="5" t="str">
        <f t="shared" si="4"/>
        <v>Q4</v>
      </c>
      <c r="G187" s="5">
        <v>1482.3</v>
      </c>
      <c r="H187" s="5">
        <v>1491.4</v>
      </c>
      <c r="I187" s="5">
        <v>1474.2</v>
      </c>
      <c r="J187" s="5">
        <v>1482.3</v>
      </c>
      <c r="K187" s="5">
        <v>1486.0</v>
      </c>
      <c r="L187" s="5">
        <v>1485.5</v>
      </c>
      <c r="M187" s="5">
        <v>1482.11</v>
      </c>
      <c r="N187" s="5">
        <v>2006.45</v>
      </c>
      <c r="O187" s="5">
        <v>1307.0</v>
      </c>
      <c r="P187" s="5">
        <v>5470600.0</v>
      </c>
      <c r="Q187" s="5">
        <v>166500.0</v>
      </c>
    </row>
    <row r="188">
      <c r="A188" s="3">
        <v>45965.0</v>
      </c>
      <c r="B188" s="4" t="s">
        <v>17</v>
      </c>
      <c r="C188" s="5" t="str">
        <f t="shared" si="1"/>
        <v>Tuesday</v>
      </c>
      <c r="D188" s="5" t="str">
        <f t="shared" si="2"/>
        <v>November</v>
      </c>
      <c r="E188" s="5" t="str">
        <f t="shared" si="3"/>
        <v>2025</v>
      </c>
      <c r="F188" s="5" t="str">
        <f t="shared" si="4"/>
        <v>Q4</v>
      </c>
      <c r="G188" s="5">
        <v>1479.7</v>
      </c>
      <c r="H188" s="5">
        <v>1481.9</v>
      </c>
      <c r="I188" s="5">
        <v>1462.9</v>
      </c>
      <c r="J188" s="5">
        <v>1485.5</v>
      </c>
      <c r="K188" s="5">
        <v>1468.0</v>
      </c>
      <c r="L188" s="5">
        <v>1467.9</v>
      </c>
      <c r="M188" s="5">
        <v>1470.61</v>
      </c>
      <c r="N188" s="5">
        <v>2006.45</v>
      </c>
      <c r="O188" s="5">
        <v>1307.0</v>
      </c>
      <c r="P188" s="5">
        <v>8691330.0</v>
      </c>
      <c r="Q188" s="5">
        <v>250131.0</v>
      </c>
    </row>
    <row r="189">
      <c r="A189" s="3">
        <v>45967.0</v>
      </c>
      <c r="B189" s="4" t="s">
        <v>17</v>
      </c>
      <c r="C189" s="5" t="str">
        <f t="shared" si="1"/>
        <v>Thursday</v>
      </c>
      <c r="D189" s="5" t="str">
        <f t="shared" si="2"/>
        <v>November</v>
      </c>
      <c r="E189" s="5" t="str">
        <f t="shared" si="3"/>
        <v>2025</v>
      </c>
      <c r="F189" s="5" t="str">
        <f t="shared" si="4"/>
        <v>Q4</v>
      </c>
      <c r="G189" s="5">
        <v>1478.6</v>
      </c>
      <c r="H189" s="5">
        <v>1483.0</v>
      </c>
      <c r="I189" s="5">
        <v>1461.9</v>
      </c>
      <c r="J189" s="5">
        <v>1467.9</v>
      </c>
      <c r="K189" s="5">
        <v>1466.5</v>
      </c>
      <c r="L189" s="5">
        <v>1466.7</v>
      </c>
      <c r="M189" s="5">
        <v>1471.99</v>
      </c>
      <c r="N189" s="5">
        <v>2006.45</v>
      </c>
      <c r="O189" s="5">
        <v>1307.0</v>
      </c>
      <c r="P189" s="5">
        <v>7944752.0</v>
      </c>
      <c r="Q189" s="5">
        <v>288667.0</v>
      </c>
    </row>
    <row r="190">
      <c r="A190" s="3">
        <v>45968.0</v>
      </c>
      <c r="B190" s="4" t="s">
        <v>17</v>
      </c>
      <c r="C190" s="5" t="str">
        <f t="shared" si="1"/>
        <v>Friday</v>
      </c>
      <c r="D190" s="5" t="str">
        <f t="shared" si="2"/>
        <v>November</v>
      </c>
      <c r="E190" s="5" t="str">
        <f t="shared" si="3"/>
        <v>2025</v>
      </c>
      <c r="F190" s="5" t="str">
        <f t="shared" si="4"/>
        <v>Q4</v>
      </c>
      <c r="G190" s="5">
        <v>1470.0</v>
      </c>
      <c r="H190" s="5">
        <v>1480.9</v>
      </c>
      <c r="I190" s="5">
        <v>1449.1</v>
      </c>
      <c r="J190" s="5">
        <v>1466.7</v>
      </c>
      <c r="K190" s="5">
        <v>1478.0</v>
      </c>
      <c r="L190" s="5">
        <v>1476.8</v>
      </c>
      <c r="M190" s="5">
        <v>1466.5</v>
      </c>
      <c r="N190" s="5">
        <v>2006.45</v>
      </c>
      <c r="O190" s="5">
        <v>1307.0</v>
      </c>
      <c r="P190" s="5">
        <v>8765759.0</v>
      </c>
      <c r="Q190" s="5">
        <v>254091.0</v>
      </c>
    </row>
    <row r="191">
      <c r="A191" s="6">
        <v>45971.0</v>
      </c>
      <c r="B191" s="4" t="s">
        <v>17</v>
      </c>
      <c r="C191" s="5" t="str">
        <f t="shared" si="1"/>
        <v>Monday</v>
      </c>
      <c r="D191" s="5" t="str">
        <f t="shared" si="2"/>
        <v>November</v>
      </c>
      <c r="E191" s="5" t="str">
        <f t="shared" si="3"/>
        <v>2025</v>
      </c>
      <c r="F191" s="5" t="str">
        <f t="shared" si="4"/>
        <v>Q4</v>
      </c>
      <c r="G191" s="5">
        <v>1490.1</v>
      </c>
      <c r="H191" s="5">
        <v>1520.0</v>
      </c>
      <c r="I191" s="5">
        <v>1490.0</v>
      </c>
      <c r="J191" s="5">
        <v>1476.8</v>
      </c>
      <c r="K191" s="5">
        <v>1515.0</v>
      </c>
      <c r="L191" s="5">
        <v>1513.5</v>
      </c>
      <c r="M191" s="5">
        <v>1510.83</v>
      </c>
      <c r="N191" s="5">
        <v>2006.45</v>
      </c>
      <c r="O191" s="5">
        <v>1307.0</v>
      </c>
      <c r="P191" s="5">
        <v>9787975.0</v>
      </c>
      <c r="Q191" s="5">
        <v>223666.0</v>
      </c>
    </row>
    <row r="192">
      <c r="A192" s="6">
        <v>45972.0</v>
      </c>
      <c r="B192" s="4" t="s">
        <v>17</v>
      </c>
      <c r="C192" s="5" t="str">
        <f t="shared" si="1"/>
        <v>Tuesday</v>
      </c>
      <c r="D192" s="5" t="str">
        <f t="shared" si="2"/>
        <v>November</v>
      </c>
      <c r="E192" s="5" t="str">
        <f t="shared" si="3"/>
        <v>2025</v>
      </c>
      <c r="F192" s="5" t="str">
        <f t="shared" si="4"/>
        <v>Q4</v>
      </c>
      <c r="G192" s="5">
        <v>1525.0</v>
      </c>
      <c r="H192" s="5">
        <v>1533.4</v>
      </c>
      <c r="I192" s="5">
        <v>1511.1</v>
      </c>
      <c r="J192" s="5">
        <v>1513.5</v>
      </c>
      <c r="K192" s="5">
        <v>1531.1</v>
      </c>
      <c r="L192" s="5">
        <v>1530.3</v>
      </c>
      <c r="M192" s="5">
        <v>1523.87</v>
      </c>
      <c r="N192" s="5">
        <v>2006.45</v>
      </c>
      <c r="O192" s="5">
        <v>1307.0</v>
      </c>
      <c r="P192" s="5">
        <v>1.3692989E7</v>
      </c>
      <c r="Q192" s="5">
        <v>255611.0</v>
      </c>
    </row>
    <row r="193">
      <c r="A193" s="6">
        <v>45973.0</v>
      </c>
      <c r="B193" s="4" t="s">
        <v>17</v>
      </c>
      <c r="C193" s="5" t="str">
        <f t="shared" si="1"/>
        <v>Wednesday</v>
      </c>
      <c r="D193" s="5" t="str">
        <f t="shared" si="2"/>
        <v>November</v>
      </c>
      <c r="E193" s="5" t="str">
        <f t="shared" si="3"/>
        <v>2025</v>
      </c>
      <c r="F193" s="5" t="str">
        <f t="shared" si="4"/>
        <v>Q4</v>
      </c>
      <c r="G193" s="5">
        <v>1540.0</v>
      </c>
      <c r="H193" s="5">
        <v>1559.2</v>
      </c>
      <c r="I193" s="5">
        <v>1538.1</v>
      </c>
      <c r="J193" s="5">
        <v>1530.3</v>
      </c>
      <c r="K193" s="5">
        <v>1550.6</v>
      </c>
      <c r="L193" s="5">
        <v>1551.7</v>
      </c>
      <c r="M193" s="5">
        <v>1551.22</v>
      </c>
      <c r="N193" s="5">
        <v>2006.45</v>
      </c>
      <c r="O193" s="5">
        <v>1307.0</v>
      </c>
      <c r="P193" s="5">
        <v>1.4635417E7</v>
      </c>
      <c r="Q193" s="5">
        <v>394127.0</v>
      </c>
    </row>
    <row r="194">
      <c r="A194" s="6">
        <v>45974.0</v>
      </c>
      <c r="B194" s="4" t="s">
        <v>17</v>
      </c>
      <c r="C194" s="5" t="str">
        <f t="shared" si="1"/>
        <v>Thursday</v>
      </c>
      <c r="D194" s="5" t="str">
        <f t="shared" si="2"/>
        <v>November</v>
      </c>
      <c r="E194" s="5" t="str">
        <f t="shared" si="3"/>
        <v>2025</v>
      </c>
      <c r="F194" s="5" t="str">
        <f t="shared" si="4"/>
        <v>Q4</v>
      </c>
      <c r="G194" s="5">
        <v>1557.1</v>
      </c>
      <c r="H194" s="5">
        <v>1557.5</v>
      </c>
      <c r="I194" s="5">
        <v>1530.3</v>
      </c>
      <c r="J194" s="5">
        <v>1551.7</v>
      </c>
      <c r="K194" s="5">
        <v>1542.0</v>
      </c>
      <c r="L194" s="5">
        <v>1541.8</v>
      </c>
      <c r="M194" s="5">
        <v>1546.18</v>
      </c>
      <c r="N194" s="5">
        <v>2006.45</v>
      </c>
      <c r="O194" s="5">
        <v>1307.0</v>
      </c>
      <c r="P194" s="5">
        <v>1.9655689E7</v>
      </c>
      <c r="Q194" s="5">
        <v>384451.0</v>
      </c>
    </row>
    <row r="195">
      <c r="A195" s="6">
        <v>45975.0</v>
      </c>
      <c r="B195" s="4" t="s">
        <v>17</v>
      </c>
      <c r="C195" s="5" t="str">
        <f t="shared" si="1"/>
        <v>Friday</v>
      </c>
      <c r="D195" s="5" t="str">
        <f t="shared" si="2"/>
        <v>November</v>
      </c>
      <c r="E195" s="5" t="str">
        <f t="shared" si="3"/>
        <v>2025</v>
      </c>
      <c r="F195" s="5" t="str">
        <f t="shared" si="4"/>
        <v>Q4</v>
      </c>
      <c r="G195" s="5">
        <v>1520.0</v>
      </c>
      <c r="H195" s="5">
        <v>1530.0</v>
      </c>
      <c r="I195" s="5">
        <v>1488.8</v>
      </c>
      <c r="J195" s="5">
        <v>1541.8</v>
      </c>
      <c r="K195" s="5">
        <v>1505.8</v>
      </c>
      <c r="L195" s="5">
        <v>1502.8</v>
      </c>
      <c r="M195" s="5">
        <v>1502.86</v>
      </c>
      <c r="N195" s="5">
        <v>2006.45</v>
      </c>
      <c r="O195" s="5">
        <v>1307.0</v>
      </c>
      <c r="P195" s="5">
        <v>9739549.0</v>
      </c>
      <c r="Q195" s="5">
        <v>236102.0</v>
      </c>
    </row>
    <row r="196">
      <c r="A196" s="6">
        <v>45978.0</v>
      </c>
      <c r="B196" s="4" t="s">
        <v>17</v>
      </c>
      <c r="C196" s="5" t="str">
        <f t="shared" si="1"/>
        <v>Monday</v>
      </c>
      <c r="D196" s="5" t="str">
        <f t="shared" si="2"/>
        <v>November</v>
      </c>
      <c r="E196" s="5" t="str">
        <f t="shared" si="3"/>
        <v>2025</v>
      </c>
      <c r="F196" s="5" t="str">
        <f t="shared" si="4"/>
        <v>Q4</v>
      </c>
      <c r="G196" s="5">
        <v>1496.0</v>
      </c>
      <c r="H196" s="5">
        <v>1510.2</v>
      </c>
      <c r="I196" s="5">
        <v>1492.5</v>
      </c>
      <c r="J196" s="5">
        <v>1502.8</v>
      </c>
      <c r="K196" s="5">
        <v>1507.0</v>
      </c>
      <c r="L196" s="5">
        <v>1507.6</v>
      </c>
      <c r="M196" s="5">
        <v>1502.37</v>
      </c>
      <c r="N196" s="5">
        <v>2006.45</v>
      </c>
      <c r="O196" s="5">
        <v>1307.0</v>
      </c>
      <c r="P196" s="5">
        <v>7910354.0</v>
      </c>
      <c r="Q196" s="5">
        <v>271436.0</v>
      </c>
    </row>
    <row r="197">
      <c r="A197" s="6">
        <v>45979.0</v>
      </c>
      <c r="B197" s="4" t="s">
        <v>17</v>
      </c>
      <c r="C197" s="5" t="str">
        <f t="shared" si="1"/>
        <v>Tuesday</v>
      </c>
      <c r="D197" s="5" t="str">
        <f t="shared" si="2"/>
        <v>November</v>
      </c>
      <c r="E197" s="5" t="str">
        <f t="shared" si="3"/>
        <v>2025</v>
      </c>
      <c r="F197" s="5" t="str">
        <f t="shared" si="4"/>
        <v>Q4</v>
      </c>
      <c r="G197" s="5">
        <v>1506.0</v>
      </c>
      <c r="H197" s="5">
        <v>1506.0</v>
      </c>
      <c r="I197" s="5">
        <v>1483.2</v>
      </c>
      <c r="J197" s="5">
        <v>1507.6</v>
      </c>
      <c r="K197" s="5">
        <v>1486.8</v>
      </c>
      <c r="L197" s="5">
        <v>1486.4</v>
      </c>
      <c r="M197" s="5">
        <v>1489.33</v>
      </c>
      <c r="N197" s="5">
        <v>2006.45</v>
      </c>
      <c r="O197" s="5">
        <v>1307.0</v>
      </c>
      <c r="P197" s="5">
        <v>7525119.0</v>
      </c>
      <c r="Q197" s="5">
        <v>164811.0</v>
      </c>
    </row>
    <row r="198">
      <c r="A198" s="6">
        <v>45980.0</v>
      </c>
      <c r="B198" s="4" t="s">
        <v>17</v>
      </c>
      <c r="C198" s="5" t="str">
        <f t="shared" si="1"/>
        <v>Wednesday</v>
      </c>
      <c r="D198" s="5" t="str">
        <f t="shared" si="2"/>
        <v>November</v>
      </c>
      <c r="E198" s="5" t="str">
        <f t="shared" si="3"/>
        <v>2025</v>
      </c>
      <c r="F198" s="5" t="str">
        <f t="shared" si="4"/>
        <v>Q4</v>
      </c>
      <c r="G198" s="5">
        <v>1490.5</v>
      </c>
      <c r="H198" s="5">
        <v>1543.0</v>
      </c>
      <c r="I198" s="5">
        <v>1490.5</v>
      </c>
      <c r="J198" s="5">
        <v>1486.4</v>
      </c>
      <c r="K198" s="5">
        <v>1542.0</v>
      </c>
      <c r="L198" s="5">
        <v>1541.1</v>
      </c>
      <c r="M198" s="5">
        <v>1531.48</v>
      </c>
      <c r="N198" s="5">
        <v>2006.45</v>
      </c>
      <c r="O198" s="5">
        <v>1307.0</v>
      </c>
      <c r="P198" s="5">
        <v>1.0981126E7</v>
      </c>
      <c r="Q198" s="5">
        <v>212749.0</v>
      </c>
    </row>
    <row r="199">
      <c r="A199" s="6">
        <v>45981.0</v>
      </c>
      <c r="B199" s="4" t="s">
        <v>17</v>
      </c>
      <c r="C199" s="5" t="str">
        <f t="shared" si="1"/>
        <v>Thursday</v>
      </c>
      <c r="D199" s="5" t="str">
        <f t="shared" si="2"/>
        <v>November</v>
      </c>
      <c r="E199" s="5" t="str">
        <f t="shared" si="3"/>
        <v>2025</v>
      </c>
      <c r="F199" s="5" t="str">
        <f t="shared" si="4"/>
        <v>Q4</v>
      </c>
      <c r="G199" s="5">
        <v>1555.0</v>
      </c>
      <c r="H199" s="5">
        <v>1555.0</v>
      </c>
      <c r="I199" s="5">
        <v>1534.0</v>
      </c>
      <c r="J199" s="5">
        <v>1541.1</v>
      </c>
      <c r="K199" s="5">
        <v>1536.3</v>
      </c>
      <c r="L199" s="5">
        <v>1536.5</v>
      </c>
      <c r="M199" s="5">
        <v>1539.6</v>
      </c>
      <c r="N199" s="5">
        <v>2006.45</v>
      </c>
      <c r="O199" s="5">
        <v>1307.0</v>
      </c>
      <c r="P199" s="5">
        <v>7387584.0</v>
      </c>
      <c r="Q199" s="5">
        <v>174272.0</v>
      </c>
    </row>
    <row r="200">
      <c r="A200" s="6">
        <v>45982.0</v>
      </c>
      <c r="B200" s="4" t="s">
        <v>17</v>
      </c>
      <c r="C200" s="5" t="str">
        <f t="shared" si="1"/>
        <v>Friday</v>
      </c>
      <c r="D200" s="5" t="str">
        <f t="shared" si="2"/>
        <v>November</v>
      </c>
      <c r="E200" s="5" t="str">
        <f t="shared" si="3"/>
        <v>2025</v>
      </c>
      <c r="F200" s="5" t="str">
        <f t="shared" si="4"/>
        <v>Q4</v>
      </c>
      <c r="G200" s="5">
        <v>1531.0</v>
      </c>
      <c r="H200" s="5">
        <v>1551.5</v>
      </c>
      <c r="I200" s="5">
        <v>1526.3</v>
      </c>
      <c r="J200" s="5">
        <v>1536.5</v>
      </c>
      <c r="K200" s="5">
        <v>1544.1</v>
      </c>
      <c r="L200" s="5">
        <v>1545.0</v>
      </c>
      <c r="M200" s="5">
        <v>1543.83</v>
      </c>
      <c r="N200" s="5">
        <v>2006.45</v>
      </c>
      <c r="O200" s="5">
        <v>1307.0</v>
      </c>
      <c r="P200" s="5">
        <v>9186302.0</v>
      </c>
      <c r="Q200" s="5">
        <v>227357.0</v>
      </c>
    </row>
    <row r="201">
      <c r="A201" s="6">
        <v>45985.0</v>
      </c>
      <c r="B201" s="4" t="s">
        <v>17</v>
      </c>
      <c r="C201" s="5" t="str">
        <f t="shared" si="1"/>
        <v>Monday</v>
      </c>
      <c r="D201" s="5" t="str">
        <f t="shared" si="2"/>
        <v>November</v>
      </c>
      <c r="E201" s="5" t="str">
        <f t="shared" si="3"/>
        <v>2025</v>
      </c>
      <c r="F201" s="5" t="str">
        <f t="shared" si="4"/>
        <v>Q4</v>
      </c>
      <c r="G201" s="5">
        <v>1563.6</v>
      </c>
      <c r="H201" s="5">
        <v>1585.0</v>
      </c>
      <c r="I201" s="5">
        <v>1541.0</v>
      </c>
      <c r="J201" s="5">
        <v>1545.0</v>
      </c>
      <c r="K201" s="5">
        <v>1546.2</v>
      </c>
      <c r="L201" s="5">
        <v>1548.0</v>
      </c>
      <c r="M201" s="5">
        <v>1558.71</v>
      </c>
      <c r="N201" s="5">
        <v>2006.45</v>
      </c>
      <c r="O201" s="5">
        <v>1307.0</v>
      </c>
      <c r="P201" s="5">
        <v>1.9270381E7</v>
      </c>
      <c r="Q201" s="5">
        <v>267249.0</v>
      </c>
    </row>
    <row r="202">
      <c r="A202" s="6">
        <v>45986.0</v>
      </c>
      <c r="B202" s="4" t="s">
        <v>17</v>
      </c>
      <c r="C202" s="5" t="str">
        <f t="shared" si="1"/>
        <v>Tuesday</v>
      </c>
      <c r="D202" s="5" t="str">
        <f t="shared" si="2"/>
        <v>November</v>
      </c>
      <c r="E202" s="5" t="str">
        <f t="shared" si="3"/>
        <v>2025</v>
      </c>
      <c r="F202" s="5" t="str">
        <f t="shared" si="4"/>
        <v>Q4</v>
      </c>
      <c r="G202" s="5">
        <v>1549.0</v>
      </c>
      <c r="H202" s="5">
        <v>1550.6</v>
      </c>
      <c r="I202" s="5">
        <v>1525.9</v>
      </c>
      <c r="J202" s="5">
        <v>1548.0</v>
      </c>
      <c r="K202" s="5">
        <v>1530.2</v>
      </c>
      <c r="L202" s="5">
        <v>1530.6</v>
      </c>
      <c r="M202" s="5">
        <v>1532.04</v>
      </c>
      <c r="N202" s="5">
        <v>2006.45</v>
      </c>
      <c r="O202" s="5">
        <v>1307.0</v>
      </c>
      <c r="P202" s="5">
        <v>8107952.0</v>
      </c>
      <c r="Q202" s="5">
        <v>170664.0</v>
      </c>
    </row>
    <row r="203">
      <c r="A203" s="6">
        <v>45987.0</v>
      </c>
      <c r="B203" s="4" t="s">
        <v>17</v>
      </c>
      <c r="C203" s="5" t="str">
        <f t="shared" si="1"/>
        <v>Wednesday</v>
      </c>
      <c r="D203" s="5" t="str">
        <f t="shared" si="2"/>
        <v>November</v>
      </c>
      <c r="E203" s="5" t="str">
        <f t="shared" si="3"/>
        <v>2025</v>
      </c>
      <c r="F203" s="5" t="str">
        <f t="shared" si="4"/>
        <v>Q4</v>
      </c>
      <c r="G203" s="5">
        <v>1532.1</v>
      </c>
      <c r="H203" s="5">
        <v>1560.3</v>
      </c>
      <c r="I203" s="5">
        <v>1532.1</v>
      </c>
      <c r="J203" s="5">
        <v>1530.6</v>
      </c>
      <c r="K203" s="5">
        <v>1557.3</v>
      </c>
      <c r="L203" s="5">
        <v>1557.9</v>
      </c>
      <c r="M203" s="5">
        <v>1550.71</v>
      </c>
      <c r="N203" s="5">
        <v>2006.45</v>
      </c>
      <c r="O203" s="5">
        <v>1307.0</v>
      </c>
      <c r="P203" s="5">
        <v>7575038.0</v>
      </c>
      <c r="Q203" s="5">
        <v>122796.0</v>
      </c>
    </row>
    <row r="204">
      <c r="A204" s="6">
        <v>45988.0</v>
      </c>
      <c r="B204" s="4" t="s">
        <v>17</v>
      </c>
      <c r="C204" s="5" t="str">
        <f t="shared" si="1"/>
        <v>Thursday</v>
      </c>
      <c r="D204" s="5" t="str">
        <f t="shared" si="2"/>
        <v>November</v>
      </c>
      <c r="E204" s="5" t="str">
        <f t="shared" si="3"/>
        <v>2025</v>
      </c>
      <c r="F204" s="5" t="str">
        <f t="shared" si="4"/>
        <v>Q4</v>
      </c>
      <c r="G204" s="5">
        <v>1564.0</v>
      </c>
      <c r="H204" s="5">
        <v>1574.3</v>
      </c>
      <c r="I204" s="5">
        <v>1552.2</v>
      </c>
      <c r="J204" s="5">
        <v>1557.9</v>
      </c>
      <c r="K204" s="5">
        <v>1565.0</v>
      </c>
      <c r="L204" s="5">
        <v>1566.4</v>
      </c>
      <c r="M204" s="5">
        <v>1563.46</v>
      </c>
      <c r="N204" s="5">
        <v>2006.45</v>
      </c>
      <c r="O204" s="5">
        <v>1307.0</v>
      </c>
      <c r="P204" s="5">
        <v>7552252.0</v>
      </c>
      <c r="Q204" s="5">
        <v>168875.0</v>
      </c>
    </row>
    <row r="205">
      <c r="A205" s="6">
        <v>45989.0</v>
      </c>
      <c r="B205" s="4" t="s">
        <v>17</v>
      </c>
      <c r="C205" s="5" t="str">
        <f t="shared" si="1"/>
        <v>Friday</v>
      </c>
      <c r="D205" s="5" t="str">
        <f t="shared" si="2"/>
        <v>November</v>
      </c>
      <c r="E205" s="5" t="str">
        <f t="shared" si="3"/>
        <v>2025</v>
      </c>
      <c r="F205" s="5" t="str">
        <f t="shared" si="4"/>
        <v>Q4</v>
      </c>
      <c r="G205" s="5">
        <v>1565.0</v>
      </c>
      <c r="H205" s="5">
        <v>1568.4</v>
      </c>
      <c r="I205" s="5">
        <v>1557.0</v>
      </c>
      <c r="J205" s="5">
        <v>1566.4</v>
      </c>
      <c r="K205" s="5">
        <v>1558.1</v>
      </c>
      <c r="L205" s="5">
        <v>1560.1</v>
      </c>
      <c r="M205" s="5">
        <v>1561.93</v>
      </c>
      <c r="N205" s="5">
        <v>2006.45</v>
      </c>
      <c r="O205" s="5">
        <v>1307.0</v>
      </c>
      <c r="P205" s="5">
        <v>4453221.0</v>
      </c>
      <c r="Q205" s="5">
        <v>115190.0</v>
      </c>
    </row>
    <row r="206">
      <c r="A206" s="3">
        <v>45992.0</v>
      </c>
      <c r="B206" s="4" t="s">
        <v>17</v>
      </c>
      <c r="C206" s="5" t="str">
        <f t="shared" si="1"/>
        <v>Monday</v>
      </c>
      <c r="D206" s="5" t="str">
        <f t="shared" si="2"/>
        <v>December</v>
      </c>
      <c r="E206" s="5" t="str">
        <f t="shared" si="3"/>
        <v>2025</v>
      </c>
      <c r="F206" s="5" t="str">
        <f t="shared" si="4"/>
        <v>Q4</v>
      </c>
      <c r="G206" s="5">
        <v>1562.5</v>
      </c>
      <c r="H206" s="5">
        <v>1574.0</v>
      </c>
      <c r="I206" s="5">
        <v>1556.0</v>
      </c>
      <c r="J206" s="5">
        <v>1560.1</v>
      </c>
      <c r="K206" s="5">
        <v>1563.5</v>
      </c>
      <c r="L206" s="5">
        <v>1564.0</v>
      </c>
      <c r="M206" s="5">
        <v>1564.42</v>
      </c>
      <c r="N206" s="5">
        <v>2006.45</v>
      </c>
      <c r="O206" s="5">
        <v>1307.0</v>
      </c>
      <c r="P206" s="5">
        <v>5341800.0</v>
      </c>
      <c r="Q206" s="5">
        <v>189364.0</v>
      </c>
    </row>
    <row r="207">
      <c r="A207" s="3">
        <v>45993.0</v>
      </c>
      <c r="B207" s="4" t="s">
        <v>17</v>
      </c>
      <c r="C207" s="5" t="str">
        <f t="shared" si="1"/>
        <v>Tuesday</v>
      </c>
      <c r="D207" s="5" t="str">
        <f t="shared" si="2"/>
        <v>December</v>
      </c>
      <c r="E207" s="5" t="str">
        <f t="shared" si="3"/>
        <v>2025</v>
      </c>
      <c r="F207" s="5" t="str">
        <f t="shared" si="4"/>
        <v>Q4</v>
      </c>
      <c r="G207" s="5">
        <v>1567.0</v>
      </c>
      <c r="H207" s="5">
        <v>1579.9</v>
      </c>
      <c r="I207" s="5">
        <v>1556.1</v>
      </c>
      <c r="J207" s="5">
        <v>1564.0</v>
      </c>
      <c r="K207" s="5">
        <v>1563.0</v>
      </c>
      <c r="L207" s="5">
        <v>1561.0</v>
      </c>
      <c r="M207" s="5">
        <v>1564.22</v>
      </c>
      <c r="N207" s="5">
        <v>2006.45</v>
      </c>
      <c r="O207" s="5">
        <v>1307.0</v>
      </c>
      <c r="P207" s="5">
        <v>6335969.0</v>
      </c>
      <c r="Q207" s="5">
        <v>243238.0</v>
      </c>
    </row>
    <row r="208">
      <c r="A208" s="3">
        <v>45994.0</v>
      </c>
      <c r="B208" s="4" t="s">
        <v>17</v>
      </c>
      <c r="C208" s="5" t="str">
        <f t="shared" si="1"/>
        <v>Wednesday</v>
      </c>
      <c r="D208" s="5" t="str">
        <f t="shared" si="2"/>
        <v>December</v>
      </c>
      <c r="E208" s="5" t="str">
        <f t="shared" si="3"/>
        <v>2025</v>
      </c>
      <c r="F208" s="5" t="str">
        <f t="shared" si="4"/>
        <v>Q4</v>
      </c>
      <c r="G208" s="5">
        <v>1555.1</v>
      </c>
      <c r="H208" s="5">
        <v>1586.0</v>
      </c>
      <c r="I208" s="5">
        <v>1554.1</v>
      </c>
      <c r="J208" s="5">
        <v>1561.0</v>
      </c>
      <c r="K208" s="5">
        <v>1575.6</v>
      </c>
      <c r="L208" s="5">
        <v>1578.7</v>
      </c>
      <c r="M208" s="5">
        <v>1574.15</v>
      </c>
      <c r="N208" s="5">
        <v>2006.45</v>
      </c>
      <c r="O208" s="5">
        <v>1307.0</v>
      </c>
      <c r="P208" s="5">
        <v>1.2895312E7</v>
      </c>
      <c r="Q208" s="5">
        <v>339751.0</v>
      </c>
    </row>
    <row r="209">
      <c r="A209" s="3">
        <v>45995.0</v>
      </c>
      <c r="B209" s="4" t="s">
        <v>17</v>
      </c>
      <c r="C209" s="5" t="str">
        <f t="shared" si="1"/>
        <v>Thursday</v>
      </c>
      <c r="D209" s="5" t="str">
        <f t="shared" si="2"/>
        <v>December</v>
      </c>
      <c r="E209" s="5" t="str">
        <f t="shared" si="3"/>
        <v>2025</v>
      </c>
      <c r="F209" s="5" t="str">
        <f t="shared" si="4"/>
        <v>Q4</v>
      </c>
      <c r="G209" s="5">
        <v>1568.0</v>
      </c>
      <c r="H209" s="5">
        <v>1599.0</v>
      </c>
      <c r="I209" s="5">
        <v>1568.0</v>
      </c>
      <c r="J209" s="5">
        <v>1578.7</v>
      </c>
      <c r="K209" s="5">
        <v>1593.2</v>
      </c>
      <c r="L209" s="5">
        <v>1597.6</v>
      </c>
      <c r="M209" s="5">
        <v>1591.52</v>
      </c>
      <c r="N209" s="5">
        <v>2006.45</v>
      </c>
      <c r="O209" s="5">
        <v>1307.0</v>
      </c>
      <c r="P209" s="5">
        <v>1.2609619E7</v>
      </c>
      <c r="Q209" s="5">
        <v>325755.0</v>
      </c>
    </row>
    <row r="210">
      <c r="A210" s="3">
        <v>45996.0</v>
      </c>
      <c r="B210" s="4" t="s">
        <v>17</v>
      </c>
      <c r="C210" s="5" t="str">
        <f t="shared" si="1"/>
        <v>Friday</v>
      </c>
      <c r="D210" s="5" t="str">
        <f t="shared" si="2"/>
        <v>December</v>
      </c>
      <c r="E210" s="5" t="str">
        <f t="shared" si="3"/>
        <v>2025</v>
      </c>
      <c r="F210" s="5" t="str">
        <f t="shared" si="4"/>
        <v>Q4</v>
      </c>
      <c r="G210" s="5">
        <v>1610.0</v>
      </c>
      <c r="H210" s="5">
        <v>1631.8</v>
      </c>
      <c r="I210" s="5">
        <v>1600.0</v>
      </c>
      <c r="J210" s="5">
        <v>1597.6</v>
      </c>
      <c r="K210" s="5">
        <v>1613.9</v>
      </c>
      <c r="L210" s="5">
        <v>1616.2</v>
      </c>
      <c r="M210" s="5">
        <v>1617.78</v>
      </c>
      <c r="N210" s="5">
        <v>2006.45</v>
      </c>
      <c r="O210" s="5">
        <v>1307.0</v>
      </c>
      <c r="P210" s="5">
        <v>1.0344725E7</v>
      </c>
      <c r="Q210" s="5">
        <v>327955.0</v>
      </c>
    </row>
    <row r="211">
      <c r="A211" s="3">
        <v>45999.0</v>
      </c>
      <c r="B211" s="4" t="s">
        <v>17</v>
      </c>
      <c r="C211" s="5" t="str">
        <f t="shared" si="1"/>
        <v>Monday</v>
      </c>
      <c r="D211" s="5" t="str">
        <f t="shared" si="2"/>
        <v>December</v>
      </c>
      <c r="E211" s="5" t="str">
        <f t="shared" si="3"/>
        <v>2025</v>
      </c>
      <c r="F211" s="5" t="str">
        <f t="shared" si="4"/>
        <v>Q4</v>
      </c>
      <c r="G211" s="5">
        <v>1617.1</v>
      </c>
      <c r="H211" s="5">
        <v>1630.0</v>
      </c>
      <c r="I211" s="5">
        <v>1600.2</v>
      </c>
      <c r="J211" s="5">
        <v>1616.2</v>
      </c>
      <c r="K211" s="5">
        <v>1608.0</v>
      </c>
      <c r="L211" s="5">
        <v>1610.8</v>
      </c>
      <c r="M211" s="5">
        <v>1616.8</v>
      </c>
      <c r="N211" s="5">
        <v>2006.45</v>
      </c>
      <c r="O211" s="5">
        <v>1307.0</v>
      </c>
      <c r="P211" s="5">
        <v>7550413.0</v>
      </c>
      <c r="Q211" s="5">
        <v>302234.0</v>
      </c>
    </row>
    <row r="212">
      <c r="A212" s="3">
        <v>46000.0</v>
      </c>
      <c r="B212" s="4" t="s">
        <v>17</v>
      </c>
      <c r="C212" s="5" t="str">
        <f t="shared" si="1"/>
        <v>Tuesday</v>
      </c>
      <c r="D212" s="5" t="str">
        <f t="shared" si="2"/>
        <v>December</v>
      </c>
      <c r="E212" s="5" t="str">
        <f t="shared" si="3"/>
        <v>2025</v>
      </c>
      <c r="F212" s="5" t="str">
        <f t="shared" si="4"/>
        <v>Q4</v>
      </c>
      <c r="G212" s="5">
        <v>1601.2</v>
      </c>
      <c r="H212" s="5">
        <v>1606.9</v>
      </c>
      <c r="I212" s="5">
        <v>1582.4</v>
      </c>
      <c r="J212" s="5">
        <v>1610.8</v>
      </c>
      <c r="K212" s="5">
        <v>1597.0</v>
      </c>
      <c r="L212" s="5">
        <v>1599.0</v>
      </c>
      <c r="M212" s="5">
        <v>1596.28</v>
      </c>
      <c r="N212" s="5">
        <v>2006.45</v>
      </c>
      <c r="O212" s="5">
        <v>1307.0</v>
      </c>
      <c r="P212" s="5">
        <v>6957599.0</v>
      </c>
      <c r="Q212" s="5">
        <v>156650.0</v>
      </c>
    </row>
    <row r="213">
      <c r="A213" s="6">
        <v>46001.0</v>
      </c>
      <c r="B213" s="4" t="s">
        <v>17</v>
      </c>
      <c r="C213" s="5" t="str">
        <f t="shared" si="1"/>
        <v>Wednesday</v>
      </c>
      <c r="D213" s="5" t="str">
        <f t="shared" si="2"/>
        <v>December</v>
      </c>
      <c r="E213" s="5" t="str">
        <f t="shared" si="3"/>
        <v>2025</v>
      </c>
      <c r="F213" s="5" t="str">
        <f t="shared" si="4"/>
        <v>Q4</v>
      </c>
      <c r="G213" s="5">
        <v>1608.0</v>
      </c>
      <c r="H213" s="5">
        <v>1608.0</v>
      </c>
      <c r="I213" s="5">
        <v>1582.8</v>
      </c>
      <c r="J213" s="5">
        <v>1599.0</v>
      </c>
      <c r="K213" s="5">
        <v>1584.8</v>
      </c>
      <c r="L213" s="5">
        <v>1584.8</v>
      </c>
      <c r="M213" s="5">
        <v>1590.84</v>
      </c>
      <c r="N213" s="5">
        <v>2006.45</v>
      </c>
      <c r="O213" s="5">
        <v>1307.0</v>
      </c>
      <c r="P213" s="5">
        <v>5116140.0</v>
      </c>
      <c r="Q213" s="5">
        <v>191185.0</v>
      </c>
    </row>
    <row r="214">
      <c r="A214" s="6">
        <v>46002.0</v>
      </c>
      <c r="B214" s="4" t="s">
        <v>17</v>
      </c>
      <c r="C214" s="5" t="str">
        <f t="shared" si="1"/>
        <v>Thursday</v>
      </c>
      <c r="D214" s="5" t="str">
        <f t="shared" si="2"/>
        <v>December</v>
      </c>
      <c r="E214" s="5" t="str">
        <f t="shared" si="3"/>
        <v>2025</v>
      </c>
      <c r="F214" s="5" t="str">
        <f t="shared" si="4"/>
        <v>Q4</v>
      </c>
      <c r="G214" s="5">
        <v>1598.0</v>
      </c>
      <c r="H214" s="5">
        <v>1607.4</v>
      </c>
      <c r="I214" s="5">
        <v>1580.5</v>
      </c>
      <c r="J214" s="5">
        <v>1584.8</v>
      </c>
      <c r="K214" s="5">
        <v>1596.2</v>
      </c>
      <c r="L214" s="5">
        <v>1598.0</v>
      </c>
      <c r="M214" s="5">
        <v>1592.84</v>
      </c>
      <c r="N214" s="5">
        <v>2006.45</v>
      </c>
      <c r="O214" s="5">
        <v>1307.0</v>
      </c>
      <c r="P214" s="5">
        <v>5159319.0</v>
      </c>
      <c r="Q214" s="5">
        <v>154906.0</v>
      </c>
    </row>
    <row r="215">
      <c r="A215" s="6">
        <v>46003.0</v>
      </c>
      <c r="B215" s="4" t="s">
        <v>17</v>
      </c>
      <c r="C215" s="5" t="str">
        <f t="shared" si="1"/>
        <v>Friday</v>
      </c>
      <c r="D215" s="5" t="str">
        <f t="shared" si="2"/>
        <v>December</v>
      </c>
      <c r="E215" s="5" t="str">
        <f t="shared" si="3"/>
        <v>2025</v>
      </c>
      <c r="F215" s="5" t="str">
        <f t="shared" si="4"/>
        <v>Q4</v>
      </c>
      <c r="G215" s="5">
        <v>1601.4</v>
      </c>
      <c r="H215" s="5">
        <v>1601.8</v>
      </c>
      <c r="I215" s="5">
        <v>1582.6</v>
      </c>
      <c r="J215" s="5">
        <v>1598.0</v>
      </c>
      <c r="K215" s="5">
        <v>1597.5</v>
      </c>
      <c r="L215" s="5">
        <v>1598.2</v>
      </c>
      <c r="M215" s="5">
        <v>1593.93</v>
      </c>
      <c r="N215" s="5">
        <v>2006.45</v>
      </c>
      <c r="O215" s="5">
        <v>1307.0</v>
      </c>
      <c r="P215" s="5">
        <v>4633912.0</v>
      </c>
      <c r="Q215" s="5">
        <v>144042.0</v>
      </c>
    </row>
    <row r="216">
      <c r="A216" s="6">
        <v>46006.0</v>
      </c>
      <c r="B216" s="4" t="s">
        <v>17</v>
      </c>
      <c r="C216" s="5" t="str">
        <f t="shared" si="1"/>
        <v>Monday</v>
      </c>
      <c r="D216" s="5" t="str">
        <f t="shared" si="2"/>
        <v>December</v>
      </c>
      <c r="E216" s="5" t="str">
        <f t="shared" si="3"/>
        <v>2025</v>
      </c>
      <c r="F216" s="5" t="str">
        <f t="shared" si="4"/>
        <v>Q4</v>
      </c>
      <c r="G216" s="5">
        <v>1585.0</v>
      </c>
      <c r="H216" s="5">
        <v>1610.8</v>
      </c>
      <c r="I216" s="5">
        <v>1585.0</v>
      </c>
      <c r="J216" s="5">
        <v>1598.2</v>
      </c>
      <c r="K216" s="5">
        <v>1607.0</v>
      </c>
      <c r="L216" s="5">
        <v>1606.8</v>
      </c>
      <c r="M216" s="5">
        <v>1603.88</v>
      </c>
      <c r="N216" s="5">
        <v>1999.6</v>
      </c>
      <c r="O216" s="5">
        <v>1307.0</v>
      </c>
      <c r="P216" s="5">
        <v>4190558.0</v>
      </c>
      <c r="Q216" s="5">
        <v>163737.0</v>
      </c>
    </row>
    <row r="217">
      <c r="A217" s="6">
        <v>46007.0</v>
      </c>
      <c r="B217" s="4" t="s">
        <v>17</v>
      </c>
      <c r="C217" s="5" t="str">
        <f t="shared" si="1"/>
        <v>Tuesday</v>
      </c>
      <c r="D217" s="5" t="str">
        <f t="shared" si="2"/>
        <v>December</v>
      </c>
      <c r="E217" s="5" t="str">
        <f t="shared" si="3"/>
        <v>2025</v>
      </c>
      <c r="F217" s="5" t="str">
        <f t="shared" si="4"/>
        <v>Q4</v>
      </c>
      <c r="G217" s="5">
        <v>1600.0</v>
      </c>
      <c r="H217" s="5">
        <v>1603.0</v>
      </c>
      <c r="I217" s="5">
        <v>1585.6</v>
      </c>
      <c r="J217" s="5">
        <v>1606.8</v>
      </c>
      <c r="K217" s="5">
        <v>1592.6</v>
      </c>
      <c r="L217" s="5">
        <v>1592.9</v>
      </c>
      <c r="M217" s="5">
        <v>1591.77</v>
      </c>
      <c r="N217" s="5">
        <v>1999.6</v>
      </c>
      <c r="O217" s="5">
        <v>1307.0</v>
      </c>
      <c r="P217" s="5">
        <v>5499258.0</v>
      </c>
      <c r="Q217" s="5">
        <v>220591.0</v>
      </c>
    </row>
    <row r="218">
      <c r="A218" s="6">
        <v>46008.0</v>
      </c>
      <c r="B218" s="4" t="s">
        <v>17</v>
      </c>
      <c r="C218" s="5" t="str">
        <f t="shared" si="1"/>
        <v>Wednesday</v>
      </c>
      <c r="D218" s="5" t="str">
        <f t="shared" si="2"/>
        <v>December</v>
      </c>
      <c r="E218" s="5" t="str">
        <f t="shared" si="3"/>
        <v>2025</v>
      </c>
      <c r="F218" s="5" t="str">
        <f t="shared" si="4"/>
        <v>Q4</v>
      </c>
      <c r="G218" s="5">
        <v>1587.2</v>
      </c>
      <c r="H218" s="5">
        <v>1606.9</v>
      </c>
      <c r="I218" s="5">
        <v>1586.0</v>
      </c>
      <c r="J218" s="5">
        <v>1592.9</v>
      </c>
      <c r="K218" s="5">
        <v>1602.0</v>
      </c>
      <c r="L218" s="5">
        <v>1602.0</v>
      </c>
      <c r="M218" s="5">
        <v>1600.21</v>
      </c>
      <c r="N218" s="5">
        <v>1999.6</v>
      </c>
      <c r="O218" s="5">
        <v>1307.0</v>
      </c>
      <c r="P218" s="5">
        <v>4817628.0</v>
      </c>
      <c r="Q218" s="5">
        <v>155044.0</v>
      </c>
    </row>
    <row r="219">
      <c r="A219" s="6">
        <v>46009.0</v>
      </c>
      <c r="B219" s="4" t="s">
        <v>17</v>
      </c>
      <c r="C219" s="5" t="str">
        <f t="shared" si="1"/>
        <v>Thursday</v>
      </c>
      <c r="D219" s="5" t="str">
        <f t="shared" si="2"/>
        <v>December</v>
      </c>
      <c r="E219" s="5" t="str">
        <f t="shared" si="3"/>
        <v>2025</v>
      </c>
      <c r="F219" s="5" t="str">
        <f t="shared" si="4"/>
        <v>Q4</v>
      </c>
      <c r="G219" s="5">
        <v>1610.5</v>
      </c>
      <c r="H219" s="5">
        <v>1630.0</v>
      </c>
      <c r="I219" s="5">
        <v>1606.7</v>
      </c>
      <c r="J219" s="5">
        <v>1602.0</v>
      </c>
      <c r="K219" s="5">
        <v>1627.1</v>
      </c>
      <c r="L219" s="5">
        <v>1626.8</v>
      </c>
      <c r="M219" s="5">
        <v>1623.68</v>
      </c>
      <c r="N219" s="5">
        <v>1999.6</v>
      </c>
      <c r="O219" s="5">
        <v>1307.0</v>
      </c>
      <c r="P219" s="5">
        <v>6577293.0</v>
      </c>
      <c r="Q219" s="5">
        <v>288341.0</v>
      </c>
    </row>
    <row r="220">
      <c r="A220" s="6">
        <v>46010.0</v>
      </c>
      <c r="B220" s="4" t="s">
        <v>17</v>
      </c>
      <c r="C220" s="5" t="str">
        <f t="shared" si="1"/>
        <v>Friday</v>
      </c>
      <c r="D220" s="5" t="str">
        <f t="shared" si="2"/>
        <v>December</v>
      </c>
      <c r="E220" s="5" t="str">
        <f t="shared" si="3"/>
        <v>2025</v>
      </c>
      <c r="F220" s="5" t="str">
        <f t="shared" si="4"/>
        <v>Q4</v>
      </c>
      <c r="G220" s="5">
        <v>1650.0</v>
      </c>
      <c r="H220" s="5">
        <v>1654.9</v>
      </c>
      <c r="I220" s="5">
        <v>1629.8</v>
      </c>
      <c r="J220" s="5">
        <v>1626.8</v>
      </c>
      <c r="K220" s="5">
        <v>1638.0</v>
      </c>
      <c r="L220" s="5">
        <v>1638.7</v>
      </c>
      <c r="M220" s="5">
        <v>1640.02</v>
      </c>
      <c r="N220" s="5">
        <v>1999.6</v>
      </c>
      <c r="O220" s="5">
        <v>1307.0</v>
      </c>
      <c r="P220" s="5">
        <v>1.3149023E7</v>
      </c>
      <c r="Q220" s="5">
        <v>201281.0</v>
      </c>
    </row>
    <row r="221">
      <c r="A221" s="6">
        <v>46013.0</v>
      </c>
      <c r="B221" s="4" t="s">
        <v>17</v>
      </c>
      <c r="C221" s="5" t="str">
        <f t="shared" si="1"/>
        <v>Monday</v>
      </c>
      <c r="D221" s="5" t="str">
        <f t="shared" si="2"/>
        <v>December</v>
      </c>
      <c r="E221" s="5" t="str">
        <f t="shared" si="3"/>
        <v>2025</v>
      </c>
      <c r="F221" s="5" t="str">
        <f t="shared" si="4"/>
        <v>Q4</v>
      </c>
      <c r="G221" s="5">
        <v>1664.0</v>
      </c>
      <c r="H221" s="5">
        <v>1693.2</v>
      </c>
      <c r="I221" s="5">
        <v>1664.0</v>
      </c>
      <c r="J221" s="5">
        <v>1638.7</v>
      </c>
      <c r="K221" s="5">
        <v>1686.0</v>
      </c>
      <c r="L221" s="5">
        <v>1689.6</v>
      </c>
      <c r="M221" s="5">
        <v>1682.86</v>
      </c>
      <c r="N221" s="5">
        <v>1982.8</v>
      </c>
      <c r="O221" s="5">
        <v>1307.0</v>
      </c>
      <c r="P221" s="5">
        <v>2.3098923E7</v>
      </c>
      <c r="Q221" s="5">
        <v>412335.0</v>
      </c>
    </row>
    <row r="222">
      <c r="A222" s="6">
        <v>46014.0</v>
      </c>
      <c r="B222" s="4" t="s">
        <v>17</v>
      </c>
      <c r="C222" s="5" t="str">
        <f t="shared" si="1"/>
        <v>Tuesday</v>
      </c>
      <c r="D222" s="5" t="str">
        <f t="shared" si="2"/>
        <v>December</v>
      </c>
      <c r="E222" s="5" t="str">
        <f t="shared" si="3"/>
        <v>2025</v>
      </c>
      <c r="F222" s="5" t="str">
        <f t="shared" si="4"/>
        <v>Q4</v>
      </c>
      <c r="G222" s="5">
        <v>1679.0</v>
      </c>
      <c r="H222" s="5">
        <v>1679.0</v>
      </c>
      <c r="I222" s="5">
        <v>1656.4</v>
      </c>
      <c r="J222" s="5">
        <v>1689.6</v>
      </c>
      <c r="K222" s="5">
        <v>1664.6</v>
      </c>
      <c r="L222" s="5">
        <v>1668.3</v>
      </c>
      <c r="M222" s="5">
        <v>1666.35</v>
      </c>
      <c r="N222" s="5">
        <v>1982.8</v>
      </c>
      <c r="O222" s="5">
        <v>1307.0</v>
      </c>
      <c r="P222" s="5">
        <v>6593060.0</v>
      </c>
      <c r="Q222" s="5">
        <v>228310.0</v>
      </c>
    </row>
    <row r="223">
      <c r="A223" s="6">
        <v>46015.0</v>
      </c>
      <c r="B223" s="4" t="s">
        <v>17</v>
      </c>
      <c r="C223" s="5" t="str">
        <f t="shared" si="1"/>
        <v>Wednesday</v>
      </c>
      <c r="D223" s="5" t="str">
        <f t="shared" si="2"/>
        <v>December</v>
      </c>
      <c r="E223" s="5" t="str">
        <f t="shared" si="3"/>
        <v>2025</v>
      </c>
      <c r="F223" s="5" t="str">
        <f t="shared" si="4"/>
        <v>Q4</v>
      </c>
      <c r="G223" s="5">
        <v>1661.0</v>
      </c>
      <c r="H223" s="5">
        <v>1667.6</v>
      </c>
      <c r="I223" s="5">
        <v>1652.5</v>
      </c>
      <c r="J223" s="5">
        <v>1668.3</v>
      </c>
      <c r="K223" s="5">
        <v>1667.0</v>
      </c>
      <c r="L223" s="5">
        <v>1663.4</v>
      </c>
      <c r="M223" s="5">
        <v>1660.54</v>
      </c>
      <c r="N223" s="5">
        <v>1982.8</v>
      </c>
      <c r="O223" s="5">
        <v>1307.0</v>
      </c>
      <c r="P223" s="5">
        <v>4271167.0</v>
      </c>
      <c r="Q223" s="5">
        <v>142602.0</v>
      </c>
    </row>
    <row r="224">
      <c r="A224" s="6">
        <v>46017.0</v>
      </c>
      <c r="B224" s="4" t="s">
        <v>17</v>
      </c>
      <c r="C224" s="5" t="str">
        <f t="shared" si="1"/>
        <v>Friday</v>
      </c>
      <c r="D224" s="5" t="str">
        <f t="shared" si="2"/>
        <v>December</v>
      </c>
      <c r="E224" s="5" t="str">
        <f t="shared" si="3"/>
        <v>2025</v>
      </c>
      <c r="F224" s="5" t="str">
        <f t="shared" si="4"/>
        <v>Q4</v>
      </c>
      <c r="G224" s="5">
        <v>1663.4</v>
      </c>
      <c r="H224" s="5">
        <v>1668.8</v>
      </c>
      <c r="I224" s="5">
        <v>1651.7</v>
      </c>
      <c r="J224" s="5">
        <v>1663.4</v>
      </c>
      <c r="K224" s="5">
        <v>1657.0</v>
      </c>
      <c r="L224" s="5">
        <v>1656.1</v>
      </c>
      <c r="M224" s="5">
        <v>1657.89</v>
      </c>
      <c r="N224" s="5">
        <v>1982.8</v>
      </c>
      <c r="O224" s="5">
        <v>1307.0</v>
      </c>
      <c r="P224" s="5">
        <v>2006491.0</v>
      </c>
      <c r="Q224" s="5">
        <v>97220.0</v>
      </c>
    </row>
    <row r="225">
      <c r="A225" s="6">
        <v>46020.0</v>
      </c>
      <c r="B225" s="4" t="s">
        <v>17</v>
      </c>
      <c r="C225" s="5" t="str">
        <f t="shared" si="1"/>
        <v>Monday</v>
      </c>
      <c r="D225" s="5" t="str">
        <f t="shared" si="2"/>
        <v>December</v>
      </c>
      <c r="E225" s="5" t="str">
        <f t="shared" si="3"/>
        <v>2025</v>
      </c>
      <c r="F225" s="5" t="str">
        <f t="shared" si="4"/>
        <v>Q4</v>
      </c>
      <c r="G225" s="5">
        <v>1658.0</v>
      </c>
      <c r="H225" s="5">
        <v>1673.1</v>
      </c>
      <c r="I225" s="5">
        <v>1637.1</v>
      </c>
      <c r="J225" s="5">
        <v>1656.1</v>
      </c>
      <c r="K225" s="5">
        <v>1645.0</v>
      </c>
      <c r="L225" s="5">
        <v>1644.7</v>
      </c>
      <c r="M225" s="5">
        <v>1647.3</v>
      </c>
      <c r="N225" s="5">
        <v>1982.8</v>
      </c>
      <c r="O225" s="5">
        <v>1307.0</v>
      </c>
      <c r="P225" s="5">
        <v>4062817.0</v>
      </c>
      <c r="Q225" s="5">
        <v>103013.0</v>
      </c>
    </row>
    <row r="226">
      <c r="A226" s="6">
        <v>46021.0</v>
      </c>
      <c r="B226" s="4" t="s">
        <v>17</v>
      </c>
      <c r="C226" s="5" t="str">
        <f t="shared" si="1"/>
        <v>Tuesday</v>
      </c>
      <c r="D226" s="5" t="str">
        <f t="shared" si="2"/>
        <v>December</v>
      </c>
      <c r="E226" s="5" t="str">
        <f t="shared" si="3"/>
        <v>2025</v>
      </c>
      <c r="F226" s="5" t="str">
        <f t="shared" si="4"/>
        <v>Q4</v>
      </c>
      <c r="G226" s="5">
        <v>1647.0</v>
      </c>
      <c r="H226" s="5">
        <v>1647.9</v>
      </c>
      <c r="I226" s="5">
        <v>1616.8</v>
      </c>
      <c r="J226" s="5">
        <v>1644.7</v>
      </c>
      <c r="K226" s="5">
        <v>1623.5</v>
      </c>
      <c r="L226" s="5">
        <v>1621.6</v>
      </c>
      <c r="M226" s="5">
        <v>1625.72</v>
      </c>
      <c r="N226" s="5">
        <v>1982.8</v>
      </c>
      <c r="O226" s="5">
        <v>1307.0</v>
      </c>
      <c r="P226" s="5">
        <v>9395937.0</v>
      </c>
      <c r="Q226" s="5">
        <v>150131.0</v>
      </c>
    </row>
    <row r="227">
      <c r="A227" s="6">
        <v>46022.0</v>
      </c>
      <c r="B227" s="4" t="s">
        <v>17</v>
      </c>
      <c r="C227" s="5" t="str">
        <f t="shared" si="1"/>
        <v>Wednesday</v>
      </c>
      <c r="D227" s="5" t="str">
        <f t="shared" si="2"/>
        <v>December</v>
      </c>
      <c r="E227" s="5" t="str">
        <f t="shared" si="3"/>
        <v>2025</v>
      </c>
      <c r="F227" s="5" t="str">
        <f t="shared" si="4"/>
        <v>Q4</v>
      </c>
      <c r="G227" s="5">
        <v>1621.0</v>
      </c>
      <c r="H227" s="5">
        <v>1628.6</v>
      </c>
      <c r="I227" s="5">
        <v>1609.2</v>
      </c>
      <c r="J227" s="5">
        <v>1621.6</v>
      </c>
      <c r="K227" s="5">
        <v>1617.9</v>
      </c>
      <c r="L227" s="5">
        <v>1615.4</v>
      </c>
      <c r="M227" s="5">
        <v>1616.58</v>
      </c>
      <c r="N227" s="5">
        <v>1982.8</v>
      </c>
      <c r="O227" s="5">
        <v>1307.0</v>
      </c>
      <c r="P227" s="5">
        <v>6538656.0</v>
      </c>
      <c r="Q227" s="5">
        <v>102413.0</v>
      </c>
    </row>
    <row r="228">
      <c r="A228" s="3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</row>
    <row r="229">
      <c r="A229" s="3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</row>
    <row r="230">
      <c r="A230" s="3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</row>
    <row r="231">
      <c r="A231" s="3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</row>
    <row r="232">
      <c r="A232" s="3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</row>
    <row r="233">
      <c r="A233" s="3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</row>
    <row r="234">
      <c r="A234" s="3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</row>
    <row r="235">
      <c r="A235" s="6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</row>
    <row r="236">
      <c r="A236" s="6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</row>
    <row r="237">
      <c r="A237" s="6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</row>
    <row r="238">
      <c r="A238" s="6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</row>
    <row r="239">
      <c r="A239" s="6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</row>
    <row r="240">
      <c r="A240" s="6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</row>
    <row r="241">
      <c r="A241" s="6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</row>
    <row r="242">
      <c r="A242" s="6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</row>
    <row r="243">
      <c r="A243" s="6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</row>
    <row r="244">
      <c r="A244" s="6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</row>
    <row r="245">
      <c r="A245" s="6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</row>
    <row r="246">
      <c r="A246" s="6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</row>
    <row r="247">
      <c r="A247" s="6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</row>
  </sheetData>
  <drawing r:id="rId1"/>
</worksheet>
</file>